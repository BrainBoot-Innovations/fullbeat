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Execution" sheetId="1" state="visible" r:id="rId1"/>
    <sheet xmlns:r="http://schemas.openxmlformats.org/officeDocument/2006/relationships" name="Bug Log" sheetId="2" state="visible" r:id="rId2"/>
    <sheet xmlns:r="http://schemas.openxmlformats.org/officeDocument/2006/relationships" name="Dashboard" sheetId="3" state="visible" r:id="rId3"/>
  </sheets>
  <definedNames>
    <definedName name="_xlnm._FilterDatabase" localSheetId="0" hidden="1">'Test Execution'!$A$4:$K$64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6366F1"/>
      <sz val="14"/>
    </font>
    <font>
      <name val="Segoe UI"/>
      <color rgb="0064748B"/>
      <sz val="9"/>
    </font>
    <font>
      <name val="Segoe UI"/>
      <b val="1"/>
      <color rgb="00FFFFFF"/>
      <sz val="11"/>
    </font>
    <font>
      <name val="Consolas"/>
      <b val="1"/>
      <color rgb="006366F1"/>
      <sz val="10"/>
    </font>
    <font>
      <name val="Segoe UI"/>
      <color rgb="001E293B"/>
      <sz val="10"/>
    </font>
    <font>
      <name val="Consolas"/>
      <b val="1"/>
      <color rgb="00DC2626"/>
      <sz val="10"/>
    </font>
    <font>
      <name val="Segoe UI"/>
      <b val="1"/>
      <color rgb="006366F1"/>
      <sz val="13"/>
    </font>
    <font>
      <name val="Segoe UI"/>
      <b val="1"/>
      <color rgb="001E293B"/>
      <sz val="11"/>
    </font>
    <font>
      <name val="Segoe UI"/>
      <b val="1"/>
      <color rgb="006366F1"/>
      <sz val="12"/>
    </font>
    <font>
      <b val="1"/>
      <color rgb="00166534"/>
    </font>
    <font>
      <b val="1"/>
      <color rgb="00991B1B"/>
    </font>
    <font>
      <b val="1"/>
      <color rgb="00DC2626"/>
    </font>
    <font>
      <name val="Segoe UI"/>
      <b val="1"/>
      <sz val="16"/>
    </font>
  </fonts>
  <fills count="8">
    <fill>
      <patternFill/>
    </fill>
    <fill>
      <patternFill patternType="gray125"/>
    </fill>
    <fill>
      <patternFill patternType="solid">
        <fgColor rgb="006366F1"/>
        <bgColor rgb="006366F1"/>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DC2626"/>
        <bgColor rgb="00DC2626"/>
      </patternFill>
    </fill>
    <fill>
      <patternFill patternType="solid">
        <fgColor rgb="00FEF3C7"/>
        <bgColor rgb="00FEF3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7" fillId="0" borderId="0" pivotButton="0" quotePrefix="0" xfId="0"/>
    <xf numFmtId="0" fontId="8" fillId="0" borderId="1" pivotButton="0" quotePrefix="0" xfId="0"/>
    <xf numFmtId="0" fontId="9"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5" fillId="0" borderId="1" pivotButton="0" quotePrefix="0" xfId="0"/>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0" borderId="0" pivotButton="0" quotePrefix="0" xfId="0"/>
    <xf numFmtId="0" fontId="8" fillId="3" borderId="1" pivotButton="0" quotePrefix="0" xfId="0"/>
    <xf numFmtId="0" fontId="0" fillId="0" borderId="1" applyAlignment="1" pivotButton="0" quotePrefix="0" xfId="0">
      <alignment horizontal="center" vertical="center" wrapText="1"/>
    </xf>
    <xf numFmtId="0" fontId="8" fillId="4" borderId="1" pivotButton="0" quotePrefix="0" xfId="0"/>
    <xf numFmtId="0" fontId="1" fillId="0" borderId="0" pivotButton="0" quotePrefix="0" xfId="0"/>
    <xf numFmtId="0" fontId="13" fillId="0" borderId="0" applyAlignment="1" pivotButton="0" quotePrefix="0" xfId="0">
      <alignment horizontal="center" vertical="center"/>
    </xf>
  </cellXfs>
  <cellStyles count="1">
    <cellStyle name="Normal" xfId="0" builtinId="0" hidden="0"/>
  </cellStyles>
  <dxfs count="4">
    <dxf>
      <font>
        <b val="1"/>
        <color rgb="00166534"/>
      </font>
      <fill>
        <patternFill patternType="solid">
          <fgColor rgb="00DCFCE7"/>
          <bgColor rgb="00DCFCE7"/>
        </patternFill>
      </fill>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66534"/>
        <sz val="16"/>
      </font>
      <fill>
        <patternFill patternType="solid">
          <fgColor rgb="00DCFCE7"/>
          <b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366F1"/>
    <outlinePr summaryBelow="1" summaryRight="1"/>
    <pageSetUpPr/>
  </sheetPr>
  <dimension ref="A1:K64"/>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2" customWidth="1" min="3" max="3"/>
    <col width="32" customWidth="1" min="4" max="4"/>
    <col width="40" customWidth="1" min="5" max="5"/>
    <col width="35" customWidth="1" min="6" max="6"/>
    <col width="12" customWidth="1" min="7" max="7"/>
    <col width="10" customWidth="1" min="8" max="8"/>
    <col width="12" customWidth="1" min="9" max="9"/>
    <col width="14" customWidth="1" min="10" max="10"/>
    <col width="30" customWidth="1" min="11" max="11"/>
  </cols>
  <sheetData>
    <row r="1" ht="36" customHeight="1">
      <c r="A1" s="1" t="inlineStr">
        <is>
          <t>BRAINBOOT — QA Test Execution Tracker</t>
        </is>
      </c>
    </row>
    <row r="2" ht="20" customHeight="1">
      <c r="A2" s="2" t="inlineStr">
        <is>
          <t>Environment: testing.brainboot.co.in  |  Date: 2026-03-24  |  60 Test Cases  |  3 Testers</t>
        </is>
      </c>
    </row>
    <row r="4" ht="28" customHeight="1">
      <c r="A4" s="3" t="inlineStr">
        <is>
          <t>TC ID</t>
        </is>
      </c>
      <c r="B4" s="3" t="inlineStr">
        <is>
          <t>Module</t>
        </is>
      </c>
      <c r="C4" s="3" t="inlineStr">
        <is>
          <t>Type</t>
        </is>
      </c>
      <c r="D4" s="3" t="inlineStr">
        <is>
          <t>Scenario</t>
        </is>
      </c>
      <c r="E4" s="3" t="inlineStr">
        <is>
          <t>What To Do</t>
        </is>
      </c>
      <c r="F4" s="3" t="inlineStr">
        <is>
          <t>Expected Result</t>
        </is>
      </c>
      <c r="G4" s="3" t="inlineStr">
        <is>
          <t>Assigned To</t>
        </is>
      </c>
      <c r="H4" s="3" t="inlineStr">
        <is>
          <t>Tester Code</t>
        </is>
      </c>
      <c r="I4" s="3" t="inlineStr">
        <is>
          <t>Status</t>
        </is>
      </c>
      <c r="J4" s="3" t="inlineStr">
        <is>
          <t>Bug ID</t>
        </is>
      </c>
      <c r="K4" s="3" t="inlineStr">
        <is>
          <t>Remarks</t>
        </is>
      </c>
    </row>
    <row r="5" ht="48" customHeight="1">
      <c r="A5" s="4" t="inlineStr">
        <is>
          <t>TC-001</t>
        </is>
      </c>
      <c r="B5" s="5" t="inlineStr">
        <is>
          <t>Registration</t>
        </is>
      </c>
      <c r="C5" s="6" t="inlineStr">
        <is>
          <t>USE CASE</t>
        </is>
      </c>
      <c r="D5" s="7" t="inlineStr">
        <is>
          <t>Register a new account end-to-end</t>
        </is>
      </c>
      <c r="E5" s="7" t="inlineStr">
        <is>
          <t>Go to /auth/register. Enter valid email. Receive OTP. Enter OTP. Capture face. Fill profile. Submit.</t>
        </is>
      </c>
      <c r="F5" s="7" t="inlineStr">
        <is>
          <t>Account created. Redirected to dashboard. All 4 steps green.</t>
        </is>
      </c>
      <c r="G5" s="7" t="inlineStr">
        <is>
          <t>Dhivya</t>
        </is>
      </c>
      <c r="H5" s="7" t="inlineStr">
        <is>
          <t>T01</t>
        </is>
      </c>
      <c r="I5" s="7" t="inlineStr"/>
      <c r="J5" s="8">
        <f>IF(I5="FAIL",H5&amp;"-"&amp;TEXT(COUNTIF(H$5:H5,H5)-COUNTIF(I$5:I5,"PASS")-COUNTIF(I$5:I5,""),"000"),"")</f>
        <v/>
      </c>
      <c r="K5" s="7" t="inlineStr"/>
    </row>
    <row r="6" ht="48" customHeight="1">
      <c r="A6" s="9" t="inlineStr">
        <is>
          <t>TC-002</t>
        </is>
      </c>
      <c r="B6" s="10" t="inlineStr">
        <is>
          <t>Registration</t>
        </is>
      </c>
      <c r="C6" s="11" t="inlineStr">
        <is>
          <t>NEGATIVE</t>
        </is>
      </c>
      <c r="D6" s="12" t="inlineStr">
        <is>
          <t>Register with already-used email</t>
        </is>
      </c>
      <c r="E6" s="12" t="inlineStr">
        <is>
          <t>Try to register with same email again.</t>
        </is>
      </c>
      <c r="F6" s="12" t="inlineStr">
        <is>
          <t>Error: account already exists. Cannot proceed.</t>
        </is>
      </c>
      <c r="G6" s="12" t="inlineStr">
        <is>
          <t>Dhivya</t>
        </is>
      </c>
      <c r="H6" s="12" t="inlineStr">
        <is>
          <t>T01</t>
        </is>
      </c>
      <c r="I6" s="12" t="inlineStr"/>
      <c r="J6" s="13">
        <f>IF(I6="FAIL",H6&amp;"-"&amp;TEXT(COUNTIF(H$5:H6,H6)-COUNTIF(I$5:I6,"PASS")-COUNTIF(I$5:I6,""),"000"),"")</f>
        <v/>
      </c>
      <c r="K6" s="12" t="inlineStr"/>
    </row>
    <row r="7" ht="48" customHeight="1">
      <c r="A7" s="4" t="inlineStr">
        <is>
          <t>TC-003</t>
        </is>
      </c>
      <c r="B7" s="5" t="inlineStr">
        <is>
          <t>Registration</t>
        </is>
      </c>
      <c r="C7" s="6" t="inlineStr">
        <is>
          <t>USE CASE</t>
        </is>
      </c>
      <c r="D7" s="7" t="inlineStr">
        <is>
          <t>OTP arrives and works within 5 min</t>
        </is>
      </c>
      <c r="E7" s="7" t="inlineStr">
        <is>
          <t>Request OTP. Check email. Enter 6-digit code within 5 min.</t>
        </is>
      </c>
      <c r="F7" s="7" t="inlineStr">
        <is>
          <t>OTP accepted. Move to face capture step.</t>
        </is>
      </c>
      <c r="G7" s="7" t="inlineStr">
        <is>
          <t>Dhivya</t>
        </is>
      </c>
      <c r="H7" s="7" t="inlineStr">
        <is>
          <t>T01</t>
        </is>
      </c>
      <c r="I7" s="7" t="inlineStr"/>
      <c r="J7" s="8">
        <f>IF(I7="FAIL",H7&amp;"-"&amp;TEXT(COUNTIF(H$5:H7,H7)-COUNTIF(I$5:I7,"PASS")-COUNTIF(I$5:I7,""),"000"),"")</f>
        <v/>
      </c>
      <c r="K7" s="7" t="inlineStr"/>
    </row>
    <row r="8" ht="48" customHeight="1">
      <c r="A8" s="9" t="inlineStr">
        <is>
          <t>TC-004</t>
        </is>
      </c>
      <c r="B8" s="10" t="inlineStr">
        <is>
          <t>Registration</t>
        </is>
      </c>
      <c r="C8" s="11" t="inlineStr">
        <is>
          <t>NEGATIVE</t>
        </is>
      </c>
      <c r="D8" s="12" t="inlineStr">
        <is>
          <t>Enter wrong OTP 3 times</t>
        </is>
      </c>
      <c r="E8" s="12" t="inlineStr">
        <is>
          <t>Request OTP. Enter wrong code 3 times.</t>
        </is>
      </c>
      <c r="F8" s="12" t="inlineStr">
        <is>
          <t>Blocked 1 hour. Countdown timer shown.</t>
        </is>
      </c>
      <c r="G8" s="12" t="inlineStr">
        <is>
          <t>Dhivya</t>
        </is>
      </c>
      <c r="H8" s="12" t="inlineStr">
        <is>
          <t>T01</t>
        </is>
      </c>
      <c r="I8" s="12" t="inlineStr"/>
      <c r="J8" s="13">
        <f>IF(I8="FAIL",H8&amp;"-"&amp;TEXT(COUNTIF(H$5:H8,H8)-COUNTIF(I$5:I8,"PASS")-COUNTIF(I$5:I8,""),"000"),"")</f>
        <v/>
      </c>
      <c r="K8" s="12" t="inlineStr"/>
    </row>
    <row r="9" ht="48" customHeight="1">
      <c r="A9" s="4" t="inlineStr">
        <is>
          <t>TC-005</t>
        </is>
      </c>
      <c r="B9" s="5" t="inlineStr">
        <is>
          <t>Registration</t>
        </is>
      </c>
      <c r="C9" s="6" t="inlineStr">
        <is>
          <t>USE CASE</t>
        </is>
      </c>
      <c r="D9" s="7" t="inlineStr">
        <is>
          <t>Face capture completes (2 photos)</t>
        </is>
      </c>
      <c r="E9" s="7" t="inlineStr">
        <is>
          <t>Allow camera. Position face. Capture 2 snapshots.</t>
        </is>
      </c>
      <c r="F9" s="7" t="inlineStr">
        <is>
          <t>Both photos captured. Proceed to profile form.</t>
        </is>
      </c>
      <c r="G9" s="7" t="inlineStr">
        <is>
          <t>Dhivya</t>
        </is>
      </c>
      <c r="H9" s="7" t="inlineStr">
        <is>
          <t>T01</t>
        </is>
      </c>
      <c r="I9" s="7" t="inlineStr"/>
      <c r="J9" s="8">
        <f>IF(I9="FAIL",H9&amp;"-"&amp;TEXT(COUNTIF(H$5:H9,H9)-COUNTIF(I$5:I9,"PASS")-COUNTIF(I$5:I9,""),"000"),"")</f>
        <v/>
      </c>
      <c r="K9" s="7" t="inlineStr"/>
    </row>
    <row r="10" ht="48" customHeight="1">
      <c r="A10" s="9" t="inlineStr">
        <is>
          <t>TC-006</t>
        </is>
      </c>
      <c r="B10" s="10" t="inlineStr">
        <is>
          <t>Registration</t>
        </is>
      </c>
      <c r="C10" s="11" t="inlineStr">
        <is>
          <t>NEGATIVE</t>
        </is>
      </c>
      <c r="D10" s="12" t="inlineStr">
        <is>
          <t>Deny camera permission</t>
        </is>
      </c>
      <c r="E10" s="12" t="inlineStr">
        <is>
          <t>Block/deny camera when requested.</t>
        </is>
      </c>
      <c r="F10" s="12" t="inlineStr">
        <is>
          <t>Error message. Retry option. Cannot skip face.</t>
        </is>
      </c>
      <c r="G10" s="12" t="inlineStr">
        <is>
          <t>Dhivya</t>
        </is>
      </c>
      <c r="H10" s="12" t="inlineStr">
        <is>
          <t>T01</t>
        </is>
      </c>
      <c r="I10" s="12" t="inlineStr"/>
      <c r="J10" s="13">
        <f>IF(I10="FAIL",H10&amp;"-"&amp;TEXT(COUNTIF(H$5:H10,H10)-COUNTIF(I$5:I10,"PASS")-COUNTIF(I$5:I10,""),"000"),"")</f>
        <v/>
      </c>
      <c r="K10" s="12" t="inlineStr"/>
    </row>
    <row r="11" ht="48" customHeight="1">
      <c r="A11" s="4" t="inlineStr">
        <is>
          <t>TC-007</t>
        </is>
      </c>
      <c r="B11" s="5" t="inlineStr">
        <is>
          <t>Registration</t>
        </is>
      </c>
      <c r="C11" s="6" t="inlineStr">
        <is>
          <t>USE CASE</t>
        </is>
      </c>
      <c r="D11" s="7" t="inlineStr">
        <is>
          <t>Profile form accepts valid data</t>
        </is>
      </c>
      <c r="E11" s="7" t="inlineStr">
        <is>
          <t>Enter valid name, phone, state, exam year.</t>
        </is>
      </c>
      <c r="F11" s="7" t="inlineStr">
        <is>
          <t>Form validates. Submit enabled. Profile saved.</t>
        </is>
      </c>
      <c r="G11" s="7" t="inlineStr">
        <is>
          <t>Dhivya</t>
        </is>
      </c>
      <c r="H11" s="7" t="inlineStr">
        <is>
          <t>T01</t>
        </is>
      </c>
      <c r="I11" s="7" t="inlineStr"/>
      <c r="J11" s="8">
        <f>IF(I11="FAIL",H11&amp;"-"&amp;TEXT(COUNTIF(H$5:H11,H11)-COUNTIF(I$5:I11,"PASS")-COUNTIF(I$5:I11,""),"000"),"")</f>
        <v/>
      </c>
      <c r="K11" s="7" t="inlineStr"/>
    </row>
    <row r="12" ht="48" customHeight="1">
      <c r="A12" s="9" t="inlineStr">
        <is>
          <t>TC-008</t>
        </is>
      </c>
      <c r="B12" s="10" t="inlineStr">
        <is>
          <t>Registration</t>
        </is>
      </c>
      <c r="C12" s="11" t="inlineStr">
        <is>
          <t>NEGATIVE</t>
        </is>
      </c>
      <c r="D12" s="12" t="inlineStr">
        <is>
          <t>Enter invalid name (numbers/symbols)</t>
        </is>
      </c>
      <c r="E12" s="12" t="inlineStr">
        <is>
          <t>Type 'John123' or 'Test@User' in name field.</t>
        </is>
      </c>
      <c r="F12" s="12" t="inlineStr">
        <is>
          <t>Validation error: letters/spaces/hyphens only.</t>
        </is>
      </c>
      <c r="G12" s="12" t="inlineStr">
        <is>
          <t>Dhivya</t>
        </is>
      </c>
      <c r="H12" s="12" t="inlineStr">
        <is>
          <t>T01</t>
        </is>
      </c>
      <c r="I12" s="12" t="inlineStr"/>
      <c r="J12" s="13">
        <f>IF(I12="FAIL",H12&amp;"-"&amp;TEXT(COUNTIF(H$5:H12,H12)-COUNTIF(I$5:I12,"PASS")-COUNTIF(I$5:I12,""),"000"),"")</f>
        <v/>
      </c>
      <c r="K12" s="12" t="inlineStr"/>
    </row>
    <row r="13" ht="48" customHeight="1">
      <c r="A13" s="4" t="inlineStr">
        <is>
          <t>TC-009</t>
        </is>
      </c>
      <c r="B13" s="5" t="inlineStr">
        <is>
          <t>Login</t>
        </is>
      </c>
      <c r="C13" s="6" t="inlineStr">
        <is>
          <t>USE CASE</t>
        </is>
      </c>
      <c r="D13" s="7" t="inlineStr">
        <is>
          <t>Login with valid credentials</t>
        </is>
      </c>
      <c r="E13" s="7" t="inlineStr">
        <is>
          <t>Enter registered email + password. Submit.</t>
        </is>
      </c>
      <c r="F13" s="7" t="inlineStr">
        <is>
          <t>Logged in. Redirected to dashboard.</t>
        </is>
      </c>
      <c r="G13" s="7" t="inlineStr">
        <is>
          <t>Dhivya</t>
        </is>
      </c>
      <c r="H13" s="7" t="inlineStr">
        <is>
          <t>T01</t>
        </is>
      </c>
      <c r="I13" s="7" t="inlineStr"/>
      <c r="J13" s="8">
        <f>IF(I13="FAIL",H13&amp;"-"&amp;TEXT(COUNTIF(H$5:H13,H13)-COUNTIF(I$5:I13,"PASS")-COUNTIF(I$5:I13,""),"000"),"")</f>
        <v/>
      </c>
      <c r="K13" s="7" t="inlineStr"/>
    </row>
    <row r="14" ht="48" customHeight="1">
      <c r="A14" s="9" t="inlineStr">
        <is>
          <t>TC-010</t>
        </is>
      </c>
      <c r="B14" s="10" t="inlineStr">
        <is>
          <t>Login</t>
        </is>
      </c>
      <c r="C14" s="11" t="inlineStr">
        <is>
          <t>NEGATIVE</t>
        </is>
      </c>
      <c r="D14" s="12" t="inlineStr">
        <is>
          <t>Login with wrong password</t>
        </is>
      </c>
      <c r="E14" s="12" t="inlineStr">
        <is>
          <t>Enter email + wrong password. Submit.</t>
        </is>
      </c>
      <c r="F14" s="12" t="inlineStr">
        <is>
          <t>Error: Invalid credentials. Stay on login.</t>
        </is>
      </c>
      <c r="G14" s="12" t="inlineStr">
        <is>
          <t>Dhivya</t>
        </is>
      </c>
      <c r="H14" s="12" t="inlineStr">
        <is>
          <t>T01</t>
        </is>
      </c>
      <c r="I14" s="12" t="inlineStr"/>
      <c r="J14" s="13">
        <f>IF(I14="FAIL",H14&amp;"-"&amp;TEXT(COUNTIF(H$5:H14,H14)-COUNTIF(I$5:I14,"PASS")-COUNTIF(I$5:I14,""),"000"),"")</f>
        <v/>
      </c>
      <c r="K14" s="12" t="inlineStr"/>
    </row>
    <row r="15" ht="48" customHeight="1">
      <c r="A15" s="4" t="inlineStr">
        <is>
          <t>TC-011</t>
        </is>
      </c>
      <c r="B15" s="5" t="inlineStr">
        <is>
          <t>Login</t>
        </is>
      </c>
      <c r="C15" s="6" t="inlineStr">
        <is>
          <t>USE CASE</t>
        </is>
      </c>
      <c r="D15" s="7" t="inlineStr">
        <is>
          <t>Forgot password recovery</t>
        </is>
      </c>
      <c r="E15" s="7" t="inlineStr">
        <is>
          <t>Click Forgot Password. Enter email. Use reset link. Set new password.</t>
        </is>
      </c>
      <c r="F15" s="7" t="inlineStr">
        <is>
          <t>Reset email received. New password works.</t>
        </is>
      </c>
      <c r="G15" s="7" t="inlineStr">
        <is>
          <t>Dhivya</t>
        </is>
      </c>
      <c r="H15" s="7" t="inlineStr">
        <is>
          <t>T01</t>
        </is>
      </c>
      <c r="I15" s="7" t="inlineStr"/>
      <c r="J15" s="8">
        <f>IF(I15="FAIL",H15&amp;"-"&amp;TEXT(COUNTIF(H$5:H15,H15)-COUNTIF(I$5:I15,"PASS")-COUNTIF(I$5:I15,""),"000"),"")</f>
        <v/>
      </c>
      <c r="K15" s="7" t="inlineStr"/>
    </row>
    <row r="16" ht="48" customHeight="1">
      <c r="A16" s="9" t="inlineStr">
        <is>
          <t>TC-012</t>
        </is>
      </c>
      <c r="B16" s="10" t="inlineStr">
        <is>
          <t>Login</t>
        </is>
      </c>
      <c r="C16" s="11" t="inlineStr">
        <is>
          <t>NEGATIVE</t>
        </is>
      </c>
      <c r="D16" s="12" t="inlineStr">
        <is>
          <t>Access dashboard without login</t>
        </is>
      </c>
      <c r="E16" s="12" t="inlineStr">
        <is>
          <t>Type /app or /app/profile in URL bar without logging in.</t>
        </is>
      </c>
      <c r="F16" s="12" t="inlineStr">
        <is>
          <t>Redirected to login page.</t>
        </is>
      </c>
      <c r="G16" s="12" t="inlineStr">
        <is>
          <t>Dhivya</t>
        </is>
      </c>
      <c r="H16" s="12" t="inlineStr">
        <is>
          <t>T01</t>
        </is>
      </c>
      <c r="I16" s="12" t="inlineStr"/>
      <c r="J16" s="13">
        <f>IF(I16="FAIL",H16&amp;"-"&amp;TEXT(COUNTIF(H$5:H16,H16)-COUNTIF(I$5:I16,"PASS")-COUNTIF(I$5:I16,""),"000"),"")</f>
        <v/>
      </c>
      <c r="K16" s="12" t="inlineStr"/>
    </row>
    <row r="17" ht="48" customHeight="1">
      <c r="A17" s="4" t="inlineStr">
        <is>
          <t>TC-013</t>
        </is>
      </c>
      <c r="B17" s="5" t="inlineStr">
        <is>
          <t>Login</t>
        </is>
      </c>
      <c r="C17" s="6" t="inlineStr">
        <is>
          <t>USE CASE</t>
        </is>
      </c>
      <c r="D17" s="7" t="inlineStr">
        <is>
          <t>Logout works cleanly</t>
        </is>
      </c>
      <c r="E17" s="7" t="inlineStr">
        <is>
          <t>Click profile menu → Logout → Confirm.</t>
        </is>
      </c>
      <c r="F17" s="7" t="inlineStr">
        <is>
          <t>Session ended. Redirected. /app → login.</t>
        </is>
      </c>
      <c r="G17" s="7" t="inlineStr">
        <is>
          <t>Dhivya</t>
        </is>
      </c>
      <c r="H17" s="7" t="inlineStr">
        <is>
          <t>T01</t>
        </is>
      </c>
      <c r="I17" s="7" t="inlineStr"/>
      <c r="J17" s="8">
        <f>IF(I17="FAIL",H17&amp;"-"&amp;TEXT(COUNTIF(H$5:H17,H17)-COUNTIF(I$5:I17,"PASS")-COUNTIF(I$5:I17,""),"000"),"")</f>
        <v/>
      </c>
      <c r="K17" s="7" t="inlineStr"/>
    </row>
    <row r="18" ht="48" customHeight="1">
      <c r="A18" s="9" t="inlineStr">
        <is>
          <t>TC-014</t>
        </is>
      </c>
      <c r="B18" s="10" t="inlineStr">
        <is>
          <t>Login</t>
        </is>
      </c>
      <c r="C18" s="11" t="inlineStr">
        <is>
          <t>NEGATIVE</t>
        </is>
      </c>
      <c r="D18" s="12" t="inlineStr">
        <is>
          <t>Idle timeout (30 min)</t>
        </is>
      </c>
      <c r="E18" s="12" t="inlineStr">
        <is>
          <t>Login and leave idle 30 minutes.</t>
        </is>
      </c>
      <c r="F18" s="12" t="inlineStr">
        <is>
          <t>Warning dialog. Then auto-logout.</t>
        </is>
      </c>
      <c r="G18" s="12" t="inlineStr">
        <is>
          <t>Dhivya</t>
        </is>
      </c>
      <c r="H18" s="12" t="inlineStr">
        <is>
          <t>T01</t>
        </is>
      </c>
      <c r="I18" s="12" t="inlineStr"/>
      <c r="J18" s="13">
        <f>IF(I18="FAIL",H18&amp;"-"&amp;TEXT(COUNTIF(H$5:H18,H18)-COUNTIF(I$5:I18,"PASS")-COUNTIF(I$5:I18,""),"000"),"")</f>
        <v/>
      </c>
      <c r="K18" s="12" t="inlineStr"/>
    </row>
    <row r="19" ht="48" customHeight="1">
      <c r="A19" s="4" t="inlineStr">
        <is>
          <t>TC-015</t>
        </is>
      </c>
      <c r="B19" s="5" t="inlineStr">
        <is>
          <t>Session</t>
        </is>
      </c>
      <c r="C19" s="6" t="inlineStr">
        <is>
          <t>USE CASE</t>
        </is>
      </c>
      <c r="D19" s="7" t="inlineStr">
        <is>
          <t>Second device login triggers takeover</t>
        </is>
      </c>
      <c r="E19" s="7" t="inlineStr">
        <is>
          <t>Login on laptop. Then login same account on phone.</t>
        </is>
      </c>
      <c r="F19" s="7" t="inlineStr">
        <is>
          <t>Phone shows takeover gate. OTP sent.</t>
        </is>
      </c>
      <c r="G19" s="7" t="inlineStr">
        <is>
          <t>Dhivya</t>
        </is>
      </c>
      <c r="H19" s="7" t="inlineStr">
        <is>
          <t>T01</t>
        </is>
      </c>
      <c r="I19" s="7" t="inlineStr"/>
      <c r="J19" s="8">
        <f>IF(I19="FAIL",H19&amp;"-"&amp;TEXT(COUNTIF(H$5:H19,H19)-COUNTIF(I$5:I19,"PASS")-COUNTIF(I$5:I19,""),"000"),"")</f>
        <v/>
      </c>
      <c r="K19" s="7" t="inlineStr"/>
    </row>
    <row r="20" ht="48" customHeight="1">
      <c r="A20" s="9" t="inlineStr">
        <is>
          <t>TC-016</t>
        </is>
      </c>
      <c r="B20" s="10" t="inlineStr">
        <is>
          <t>Session</t>
        </is>
      </c>
      <c r="C20" s="11" t="inlineStr">
        <is>
          <t>NEGATIVE</t>
        </is>
      </c>
      <c r="D20" s="12" t="inlineStr">
        <is>
          <t>First device displaced after takeover</t>
        </is>
      </c>
      <c r="E20" s="12" t="inlineStr">
        <is>
          <t>Complete takeover on Device B. Check Device A.</t>
        </is>
      </c>
      <c r="F20" s="12" t="inlineStr">
        <is>
          <t>Device A auto-logged out with displaced message.</t>
        </is>
      </c>
      <c r="G20" s="12" t="inlineStr">
        <is>
          <t>Dhivya</t>
        </is>
      </c>
      <c r="H20" s="12" t="inlineStr">
        <is>
          <t>T01</t>
        </is>
      </c>
      <c r="I20" s="12" t="inlineStr"/>
      <c r="J20" s="13">
        <f>IF(I20="FAIL",H20&amp;"-"&amp;TEXT(COUNTIF(H$5:H20,H20)-COUNTIF(I$5:I20,"PASS")-COUNTIF(I$5:I20,""),"000"),"")</f>
        <v/>
      </c>
      <c r="K20" s="12" t="inlineStr"/>
    </row>
    <row r="21" ht="48" customHeight="1">
      <c r="A21" s="4" t="inlineStr">
        <is>
          <t>TC-017</t>
        </is>
      </c>
      <c r="B21" s="5" t="inlineStr">
        <is>
          <t>Session</t>
        </is>
      </c>
      <c r="C21" s="6" t="inlineStr">
        <is>
          <t>USE CASE</t>
        </is>
      </c>
      <c r="D21" s="7" t="inlineStr">
        <is>
          <t>Send Code shows loading spinner</t>
        </is>
      </c>
      <c r="E21" s="7" t="inlineStr">
        <is>
          <t>On takeover screen, click Send Code.</t>
        </is>
      </c>
      <c r="F21" s="7" t="inlineStr">
        <is>
          <t>Spinner shown. No double-click.</t>
        </is>
      </c>
      <c r="G21" s="7" t="inlineStr">
        <is>
          <t>Dhivya</t>
        </is>
      </c>
      <c r="H21" s="7" t="inlineStr">
        <is>
          <t>T01</t>
        </is>
      </c>
      <c r="I21" s="7" t="inlineStr"/>
      <c r="J21" s="8">
        <f>IF(I21="FAIL",H21&amp;"-"&amp;TEXT(COUNTIF(H$5:H21,H21)-COUNTIF(I$5:I21,"PASS")-COUNTIF(I$5:I21,""),"000"),"")</f>
        <v/>
      </c>
      <c r="K21" s="7" t="inlineStr"/>
    </row>
    <row r="22" ht="48" customHeight="1">
      <c r="A22" s="9" t="inlineStr">
        <is>
          <t>TC-018</t>
        </is>
      </c>
      <c r="B22" s="10" t="inlineStr">
        <is>
          <t>Session</t>
        </is>
      </c>
      <c r="C22" s="11" t="inlineStr">
        <is>
          <t>NEGATIVE</t>
        </is>
      </c>
      <c r="D22" s="12" t="inlineStr">
        <is>
          <t>3 wrong OTPs on takeover = block</t>
        </is>
      </c>
      <c r="E22" s="12" t="inlineStr">
        <is>
          <t>Enter wrong OTP 3 times on takeover gate.</t>
        </is>
      </c>
      <c r="F22" s="12" t="inlineStr">
        <is>
          <t>Blocked 1 hour. Countdown shown.</t>
        </is>
      </c>
      <c r="G22" s="12" t="inlineStr">
        <is>
          <t>Dhivya</t>
        </is>
      </c>
      <c r="H22" s="12" t="inlineStr">
        <is>
          <t>T01</t>
        </is>
      </c>
      <c r="I22" s="12" t="inlineStr"/>
      <c r="J22" s="13">
        <f>IF(I22="FAIL",H22&amp;"-"&amp;TEXT(COUNTIF(H$5:H22,H22)-COUNTIF(I$5:I22,"PASS")-COUNTIF(I$5:I22,""),"000"),"")</f>
        <v/>
      </c>
      <c r="K22" s="12" t="inlineStr"/>
    </row>
    <row r="23" ht="48" customHeight="1">
      <c r="A23" s="4" t="inlineStr">
        <is>
          <t>TC-019</t>
        </is>
      </c>
      <c r="B23" s="5" t="inlineStr">
        <is>
          <t>Dashboard</t>
        </is>
      </c>
      <c r="C23" s="6" t="inlineStr">
        <is>
          <t>USE CASE</t>
        </is>
      </c>
      <c r="D23" s="7" t="inlineStr">
        <is>
          <t>Dashboard loads after login</t>
        </is>
      </c>
      <c r="E23" s="7" t="inlineStr">
        <is>
          <t>Login. Observe dashboard.</t>
        </is>
      </c>
      <c r="F23" s="7" t="inlineStr">
        <is>
          <t>Loads fully. No blank screen. Content within 3s.</t>
        </is>
      </c>
      <c r="G23" s="7" t="inlineStr">
        <is>
          <t>Dhivya</t>
        </is>
      </c>
      <c r="H23" s="7" t="inlineStr">
        <is>
          <t>T01</t>
        </is>
      </c>
      <c r="I23" s="7" t="inlineStr"/>
      <c r="J23" s="8">
        <f>IF(I23="FAIL",H23&amp;"-"&amp;TEXT(COUNTIF(H$5:H23,H23)-COUNTIF(I$5:I23,"PASS")-COUNTIF(I$5:I23,""),"000"),"")</f>
        <v/>
      </c>
      <c r="K23" s="7" t="inlineStr"/>
    </row>
    <row r="24" ht="48" customHeight="1">
      <c r="A24" s="9" t="inlineStr">
        <is>
          <t>TC-020</t>
        </is>
      </c>
      <c r="B24" s="10" t="inlineStr">
        <is>
          <t>Dashboard</t>
        </is>
      </c>
      <c r="C24" s="11" t="inlineStr">
        <is>
          <t>NEGATIVE</t>
        </is>
      </c>
      <c r="D24" s="12" t="inlineStr">
        <is>
          <t>Check console for JS errors</t>
        </is>
      </c>
      <c r="E24" s="12" t="inlineStr">
        <is>
          <t>F12 → Console. Navigate all pages.</t>
        </is>
      </c>
      <c r="F24" s="12" t="inlineStr">
        <is>
          <t>Zero red errors. Warnings OK.</t>
        </is>
      </c>
      <c r="G24" s="12" t="inlineStr">
        <is>
          <t>Dhivya</t>
        </is>
      </c>
      <c r="H24" s="12" t="inlineStr">
        <is>
          <t>T01</t>
        </is>
      </c>
      <c r="I24" s="12" t="inlineStr"/>
      <c r="J24" s="13">
        <f>IF(I24="FAIL",H24&amp;"-"&amp;TEXT(COUNTIF(H$5:H24,H24)-COUNTIF(I$5:I24,"PASS")-COUNTIF(I$5:I24,""),"000"),"")</f>
        <v/>
      </c>
      <c r="K24" s="12" t="inlineStr"/>
    </row>
    <row r="25" ht="48" customHeight="1">
      <c r="A25" s="4" t="inlineStr">
        <is>
          <t>TC-021</t>
        </is>
      </c>
      <c r="B25" s="5" t="inlineStr">
        <is>
          <t>Dashboard</t>
        </is>
      </c>
      <c r="C25" s="6" t="inlineStr">
        <is>
          <t>USE CASE</t>
        </is>
      </c>
      <c r="D25" s="7" t="inlineStr">
        <is>
          <t>All sidebar links work</t>
        </is>
      </c>
      <c r="E25" s="7" t="inlineStr">
        <is>
          <t>Click every sidebar item.</t>
        </is>
      </c>
      <c r="F25" s="7" t="inlineStr">
        <is>
          <t>Each loads correct page. No 404s.</t>
        </is>
      </c>
      <c r="G25" s="7" t="inlineStr">
        <is>
          <t>Dhivya</t>
        </is>
      </c>
      <c r="H25" s="7" t="inlineStr">
        <is>
          <t>T01</t>
        </is>
      </c>
      <c r="I25" s="7" t="inlineStr"/>
      <c r="J25" s="8">
        <f>IF(I25="FAIL",H25&amp;"-"&amp;TEXT(COUNTIF(H$5:H25,H25)-COUNTIF(I$5:I25,"PASS")-COUNTIF(I$5:I25,""),"000"),"")</f>
        <v/>
      </c>
      <c r="K25" s="7" t="inlineStr"/>
    </row>
    <row r="26" ht="48" customHeight="1">
      <c r="A26" s="9" t="inlineStr">
        <is>
          <t>TC-022</t>
        </is>
      </c>
      <c r="B26" s="10" t="inlineStr">
        <is>
          <t>Dashboard</t>
        </is>
      </c>
      <c r="C26" s="11" t="inlineStr">
        <is>
          <t>NEGATIVE</t>
        </is>
      </c>
      <c r="D26" s="12" t="inlineStr">
        <is>
          <t>?demo=true doesn't stick</t>
        </is>
      </c>
      <c r="E26" s="12" t="inlineStr">
        <is>
          <t>Visit /app?demo=true. Click sidebar link. Check URL.</t>
        </is>
      </c>
      <c r="F26" s="12" t="inlineStr">
        <is>
          <t>New page has no ?demo=true.</t>
        </is>
      </c>
      <c r="G26" s="12" t="inlineStr">
        <is>
          <t>Dhivya</t>
        </is>
      </c>
      <c r="H26" s="12" t="inlineStr">
        <is>
          <t>T01</t>
        </is>
      </c>
      <c r="I26" s="12" t="inlineStr"/>
      <c r="J26" s="13">
        <f>IF(I26="FAIL",H26&amp;"-"&amp;TEXT(COUNTIF(H$5:H26,H26)-COUNTIF(I$5:I26,"PASS")-COUNTIF(I$5:I26,""),"000"),"")</f>
        <v/>
      </c>
      <c r="K26" s="12" t="inlineStr"/>
    </row>
    <row r="27" ht="48" customHeight="1">
      <c r="A27" s="4" t="inlineStr">
        <is>
          <t>TC-023</t>
        </is>
      </c>
      <c r="B27" s="5" t="inlineStr">
        <is>
          <t>Dashboard</t>
        </is>
      </c>
      <c r="C27" s="6" t="inlineStr">
        <is>
          <t>USE CASE</t>
        </is>
      </c>
      <c r="D27" s="7" t="inlineStr">
        <is>
          <t>Mobile hamburger menu</t>
        </is>
      </c>
      <c r="E27" s="7" t="inlineStr">
        <is>
          <t>Open on phone. Tap hamburger. Navigate.</t>
        </is>
      </c>
      <c r="F27" s="7" t="inlineStr">
        <is>
          <t>Sidebar slides in. Links work. Closes after nav.</t>
        </is>
      </c>
      <c r="G27" s="7" t="inlineStr">
        <is>
          <t>Dhivya</t>
        </is>
      </c>
      <c r="H27" s="7" t="inlineStr">
        <is>
          <t>T01</t>
        </is>
      </c>
      <c r="I27" s="7" t="inlineStr"/>
      <c r="J27" s="8">
        <f>IF(I27="FAIL",H27&amp;"-"&amp;TEXT(COUNTIF(H$5:H27,H27)-COUNTIF(I$5:I27,"PASS")-COUNTIF(I$5:I27,""),"000"),"")</f>
        <v/>
      </c>
      <c r="K27" s="7" t="inlineStr"/>
    </row>
    <row r="28" ht="48" customHeight="1">
      <c r="A28" s="9" t="inlineStr">
        <is>
          <t>TC-024</t>
        </is>
      </c>
      <c r="B28" s="10" t="inlineStr">
        <is>
          <t>Dashboard</t>
        </is>
      </c>
      <c r="C28" s="11" t="inlineStr">
        <is>
          <t>NEGATIVE</t>
        </is>
      </c>
      <c r="D28" s="12" t="inlineStr">
        <is>
          <t>Free user sees only free sidebar items</t>
        </is>
      </c>
      <c r="E28" s="12" t="inlineStr">
        <is>
          <t>As free user, check sidebar visibility.</t>
        </is>
      </c>
      <c r="F28" s="12" t="inlineStr">
        <is>
          <t>Only basic items. Paid features hidden/locked.</t>
        </is>
      </c>
      <c r="G28" s="12" t="inlineStr">
        <is>
          <t>Dhivya</t>
        </is>
      </c>
      <c r="H28" s="12" t="inlineStr">
        <is>
          <t>T01</t>
        </is>
      </c>
      <c r="I28" s="12" t="inlineStr"/>
      <c r="J28" s="13">
        <f>IF(I28="FAIL",H28&amp;"-"&amp;TEXT(COUNTIF(H$5:H28,H28)-COUNTIF(I$5:I28,"PASS")-COUNTIF(I$5:I28,""),"000"),"")</f>
        <v/>
      </c>
      <c r="K28" s="12" t="inlineStr"/>
    </row>
    <row r="29" ht="48" customHeight="1">
      <c r="A29" s="4" t="inlineStr">
        <is>
          <t>TC-025</t>
        </is>
      </c>
      <c r="B29" s="5" t="inlineStr">
        <is>
          <t>Tour Guide</t>
        </is>
      </c>
      <c r="C29" s="6" t="inlineStr">
        <is>
          <t>USE CASE</t>
        </is>
      </c>
      <c r="D29" s="7" t="inlineStr">
        <is>
          <t>Complete all 11 tour steps</t>
        </is>
      </c>
      <c r="E29" s="7" t="inlineStr">
        <is>
          <t>Login or click Replay Tour. Next through all 11.</t>
        </is>
      </c>
      <c r="F29" s="7" t="inlineStr">
        <is>
          <t>All steps render. Typewriter animation. Spotlight works.</t>
        </is>
      </c>
      <c r="G29" s="7" t="inlineStr">
        <is>
          <t>Divish</t>
        </is>
      </c>
      <c r="H29" s="7" t="inlineStr">
        <is>
          <t>T02</t>
        </is>
      </c>
      <c r="I29" s="7" t="inlineStr"/>
      <c r="J29" s="8">
        <f>IF(I29="FAIL",H29&amp;"-"&amp;TEXT(COUNTIF(H$5:H29,H29)-COUNTIF(I$5:I29,"PASS")-COUNTIF(I$5:I29,""),"000"),"")</f>
        <v/>
      </c>
      <c r="K29" s="7" t="inlineStr"/>
    </row>
    <row r="30" ht="48" customHeight="1">
      <c r="A30" s="9" t="inlineStr">
        <is>
          <t>TC-026</t>
        </is>
      </c>
      <c r="B30" s="10" t="inlineStr">
        <is>
          <t>Tour Guide</t>
        </is>
      </c>
      <c r="C30" s="11" t="inlineStr">
        <is>
          <t>NEGATIVE</t>
        </is>
      </c>
      <c r="D30" s="12" t="inlineStr">
        <is>
          <t>Esc dismisses tour mid-way</t>
        </is>
      </c>
      <c r="E30" s="12" t="inlineStr">
        <is>
          <t>Start tour. At step 5, press Esc.</t>
        </is>
      </c>
      <c r="F30" s="12" t="inlineStr">
        <is>
          <t>Tour dismissed. App normal. No stuck overlay.</t>
        </is>
      </c>
      <c r="G30" s="12" t="inlineStr">
        <is>
          <t>Divish</t>
        </is>
      </c>
      <c r="H30" s="12" t="inlineStr">
        <is>
          <t>T02</t>
        </is>
      </c>
      <c r="I30" s="12" t="inlineStr"/>
      <c r="J30" s="13">
        <f>IF(I30="FAIL",H30&amp;"-"&amp;TEXT(COUNTIF(H$5:H30,H30)-COUNTIF(I$5:I30,"PASS")-COUNTIF(I$5:I30,""),"000"),"")</f>
        <v/>
      </c>
      <c r="K30" s="12" t="inlineStr"/>
    </row>
    <row r="31" ht="48" customHeight="1">
      <c r="A31" s="4" t="inlineStr">
        <is>
          <t>TC-027</t>
        </is>
      </c>
      <c r="B31" s="5" t="inlineStr">
        <is>
          <t>Tour Guide</t>
        </is>
      </c>
      <c r="C31" s="6" t="inlineStr">
        <is>
          <t>USE CASE</t>
        </is>
      </c>
      <c r="D31" s="7" t="inlineStr">
        <is>
          <t>Arrow key navigation</t>
        </is>
      </c>
      <c r="E31" s="7" t="inlineStr">
        <is>
          <t>Start tour. Right arrow forward. Left arrow back.</t>
        </is>
      </c>
      <c r="F31" s="7" t="inlineStr">
        <is>
          <t>Steps advance/go back. Counter updates.</t>
        </is>
      </c>
      <c r="G31" s="7" t="inlineStr">
        <is>
          <t>Divish</t>
        </is>
      </c>
      <c r="H31" s="7" t="inlineStr">
        <is>
          <t>T02</t>
        </is>
      </c>
      <c r="I31" s="7" t="inlineStr"/>
      <c r="J31" s="8">
        <f>IF(I31="FAIL",H31&amp;"-"&amp;TEXT(COUNTIF(H$5:H31,H31)-COUNTIF(I$5:I31,"PASS")-COUNTIF(I$5:I31,""),"000"),"")</f>
        <v/>
      </c>
      <c r="K31" s="7" t="inlineStr"/>
    </row>
    <row r="32" ht="48" customHeight="1">
      <c r="A32" s="9" t="inlineStr">
        <is>
          <t>TC-028</t>
        </is>
      </c>
      <c r="B32" s="10" t="inlineStr">
        <is>
          <t>Tour Guide</t>
        </is>
      </c>
      <c r="C32" s="11" t="inlineStr">
        <is>
          <t>NEGATIVE</t>
        </is>
      </c>
      <c r="D32" s="12" t="inlineStr">
        <is>
          <t>Mobile tour — no sidebar spotlight</t>
        </is>
      </c>
      <c r="E32" s="12" t="inlineStr">
        <is>
          <t>Start tour on mobile.</t>
        </is>
      </c>
      <c r="F32" s="12" t="inlineStr">
        <is>
          <t>Bottom sheet shown. No sidebar spotlights.</t>
        </is>
      </c>
      <c r="G32" s="12" t="inlineStr">
        <is>
          <t>Divish</t>
        </is>
      </c>
      <c r="H32" s="12" t="inlineStr">
        <is>
          <t>T02</t>
        </is>
      </c>
      <c r="I32" s="12" t="inlineStr"/>
      <c r="J32" s="13">
        <f>IF(I32="FAIL",H32&amp;"-"&amp;TEXT(COUNTIF(H$5:H32,H32)-COUNTIF(I$5:I32,"PASS")-COUNTIF(I$5:I32,""),"000"),"")</f>
        <v/>
      </c>
      <c r="K32" s="12" t="inlineStr"/>
    </row>
    <row r="33" ht="48" customHeight="1">
      <c r="A33" s="4" t="inlineStr">
        <is>
          <t>TC-029</t>
        </is>
      </c>
      <c r="B33" s="5" t="inlineStr">
        <is>
          <t>Tour Guide</t>
        </is>
      </c>
      <c r="C33" s="6" t="inlineStr">
        <is>
          <t>USE CASE</t>
        </is>
      </c>
      <c r="D33" s="7" t="inlineStr">
        <is>
          <t>Replay tour from sidebar</t>
        </is>
      </c>
      <c r="E33" s="7" t="inlineStr">
        <is>
          <t>After tour done, click Replay Tour.</t>
        </is>
      </c>
      <c r="F33" s="7" t="inlineStr">
        <is>
          <t>Tour restarts from step 1.</t>
        </is>
      </c>
      <c r="G33" s="7" t="inlineStr">
        <is>
          <t>Divish</t>
        </is>
      </c>
      <c r="H33" s="7" t="inlineStr">
        <is>
          <t>T02</t>
        </is>
      </c>
      <c r="I33" s="7" t="inlineStr"/>
      <c r="J33" s="8">
        <f>IF(I33="FAIL",H33&amp;"-"&amp;TEXT(COUNTIF(H$5:H33,H33)-COUNTIF(I$5:I33,"PASS")-COUNTIF(I$5:I33,""),"000"),"")</f>
        <v/>
      </c>
      <c r="K33" s="7" t="inlineStr"/>
    </row>
    <row r="34" ht="48" customHeight="1">
      <c r="A34" s="9" t="inlineStr">
        <is>
          <t>TC-030</t>
        </is>
      </c>
      <c r="B34" s="10" t="inlineStr">
        <is>
          <t>Tour Guide</t>
        </is>
      </c>
      <c r="C34" s="11" t="inlineStr">
        <is>
          <t>NEGATIVE</t>
        </is>
      </c>
      <c r="D34" s="12" t="inlineStr">
        <is>
          <t>Chatbot hidden during tour</t>
        </is>
      </c>
      <c r="E34" s="12" t="inlineStr">
        <is>
          <t>Start tour. Look for chatbot button.</t>
        </is>
      </c>
      <c r="F34" s="12" t="inlineStr">
        <is>
          <t>Chatbot hidden during tour. Returns after.</t>
        </is>
      </c>
      <c r="G34" s="12" t="inlineStr">
        <is>
          <t>Divish</t>
        </is>
      </c>
      <c r="H34" s="12" t="inlineStr">
        <is>
          <t>T02</t>
        </is>
      </c>
      <c r="I34" s="12" t="inlineStr"/>
      <c r="J34" s="13">
        <f>IF(I34="FAIL",H34&amp;"-"&amp;TEXT(COUNTIF(H$5:H34,H34)-COUNTIF(I$5:I34,"PASS")-COUNTIF(I$5:I34,""),"000"),"")</f>
        <v/>
      </c>
      <c r="K34" s="12" t="inlineStr"/>
    </row>
    <row r="35" ht="48" customHeight="1">
      <c r="A35" s="4" t="inlineStr">
        <is>
          <t>TC-031</t>
        </is>
      </c>
      <c r="B35" s="5" t="inlineStr">
        <is>
          <t>Chatbot</t>
        </is>
      </c>
      <c r="C35" s="6" t="inlineStr">
        <is>
          <t>USE CASE</t>
        </is>
      </c>
      <c r="D35" s="7" t="inlineStr">
        <is>
          <t>Open chatbot and ask question</t>
        </is>
      </c>
      <c r="E35" s="7" t="inlineStr">
        <is>
          <t>Click chat button. Type &lt;30 words. Send.</t>
        </is>
      </c>
      <c r="F35" s="7" t="inlineStr">
        <is>
          <t>Response streams in. Markdown formatted.</t>
        </is>
      </c>
      <c r="G35" s="7" t="inlineStr">
        <is>
          <t>Divish</t>
        </is>
      </c>
      <c r="H35" s="7" t="inlineStr">
        <is>
          <t>T02</t>
        </is>
      </c>
      <c r="I35" s="7" t="inlineStr"/>
      <c r="J35" s="8">
        <f>IF(I35="FAIL",H35&amp;"-"&amp;TEXT(COUNTIF(H$5:H35,H35)-COUNTIF(I$5:I35,"PASS")-COUNTIF(I$5:I35,""),"000"),"")</f>
        <v/>
      </c>
      <c r="K35" s="7" t="inlineStr"/>
    </row>
    <row r="36" ht="48" customHeight="1">
      <c r="A36" s="9" t="inlineStr">
        <is>
          <t>TC-032</t>
        </is>
      </c>
      <c r="B36" s="10" t="inlineStr">
        <is>
          <t>Chatbot</t>
        </is>
      </c>
      <c r="C36" s="11" t="inlineStr">
        <is>
          <t>NEGATIVE</t>
        </is>
      </c>
      <c r="D36" s="12" t="inlineStr">
        <is>
          <t>Type more than 30 words</t>
        </is>
      </c>
      <c r="E36" s="12" t="inlineStr">
        <is>
          <t>Type 31+ word message.</t>
        </is>
      </c>
      <c r="F36" s="12" t="inlineStr">
        <is>
          <t>Warning shown. Send disabled.</t>
        </is>
      </c>
      <c r="G36" s="12" t="inlineStr">
        <is>
          <t>Divish</t>
        </is>
      </c>
      <c r="H36" s="12" t="inlineStr">
        <is>
          <t>T02</t>
        </is>
      </c>
      <c r="I36" s="12" t="inlineStr"/>
      <c r="J36" s="13">
        <f>IF(I36="FAIL",H36&amp;"-"&amp;TEXT(COUNTIF(H$5:H36,H36)-COUNTIF(I$5:I36,"PASS")-COUNTIF(I$5:I36,""),"000"),"")</f>
        <v/>
      </c>
      <c r="K36" s="12" t="inlineStr"/>
    </row>
    <row r="37" ht="48" customHeight="1">
      <c r="A37" s="4" t="inlineStr">
        <is>
          <t>TC-033</t>
        </is>
      </c>
      <c r="B37" s="5" t="inlineStr">
        <is>
          <t>Chatbot</t>
        </is>
      </c>
      <c r="C37" s="6" t="inlineStr">
        <is>
          <t>USE CASE</t>
        </is>
      </c>
      <c r="D37" s="7" t="inlineStr">
        <is>
          <t>Use all 4 quick questions</t>
        </is>
      </c>
      <c r="E37" s="7" t="inlineStr">
        <is>
          <t>Click each quick question one by one.</t>
        </is>
      </c>
      <c r="F37" s="7" t="inlineStr">
        <is>
          <t>Each gets relevant AI response.</t>
        </is>
      </c>
      <c r="G37" s="7" t="inlineStr">
        <is>
          <t>Divish</t>
        </is>
      </c>
      <c r="H37" s="7" t="inlineStr">
        <is>
          <t>T02</t>
        </is>
      </c>
      <c r="I37" s="7" t="inlineStr"/>
      <c r="J37" s="8">
        <f>IF(I37="FAIL",H37&amp;"-"&amp;TEXT(COUNTIF(H$5:H37,H37)-COUNTIF(I$5:I37,"PASS")-COUNTIF(I$5:I37,""),"000"),"")</f>
        <v/>
      </c>
      <c r="K37" s="7" t="inlineStr"/>
    </row>
    <row r="38" ht="48" customHeight="1">
      <c r="A38" s="9" t="inlineStr">
        <is>
          <t>TC-034</t>
        </is>
      </c>
      <c r="B38" s="10" t="inlineStr">
        <is>
          <t>Chatbot</t>
        </is>
      </c>
      <c r="C38" s="11" t="inlineStr">
        <is>
          <t>NEGATIVE</t>
        </is>
      </c>
      <c r="D38" s="12" t="inlineStr">
        <is>
          <t>Chatbot hidden on test pages</t>
        </is>
      </c>
      <c r="E38" s="12" t="inlineStr">
        <is>
          <t>Go to sample test page. Look for chatbot.</t>
        </is>
      </c>
      <c r="F38" s="12" t="inlineStr">
        <is>
          <t>Chatbot completely invisible.</t>
        </is>
      </c>
      <c r="G38" s="12" t="inlineStr">
        <is>
          <t>Divish</t>
        </is>
      </c>
      <c r="H38" s="12" t="inlineStr">
        <is>
          <t>T02</t>
        </is>
      </c>
      <c r="I38" s="12" t="inlineStr"/>
      <c r="J38" s="13">
        <f>IF(I38="FAIL",H38&amp;"-"&amp;TEXT(COUNTIF(H$5:H38,H38)-COUNTIF(I$5:I38,"PASS")-COUNTIF(I$5:I38,""),"000"),"")</f>
        <v/>
      </c>
      <c r="K38" s="12" t="inlineStr"/>
    </row>
    <row r="39" ht="48" customHeight="1">
      <c r="A39" s="4" t="inlineStr">
        <is>
          <t>TC-035</t>
        </is>
      </c>
      <c r="B39" s="5" t="inlineStr">
        <is>
          <t>Chatbot</t>
        </is>
      </c>
      <c r="C39" s="6" t="inlineStr">
        <is>
          <t>USE CASE</t>
        </is>
      </c>
      <c r="D39" s="7" t="inlineStr">
        <is>
          <t>Submit support ticket</t>
        </is>
      </c>
      <c r="E39" s="7" t="inlineStr">
        <is>
          <t>Switch to Support mode. Select category. Describe. Submit.</t>
        </is>
      </c>
      <c r="F39" s="7" t="inlineStr">
        <is>
          <t>Ticket ref generated. Confirmation shown.</t>
        </is>
      </c>
      <c r="G39" s="7" t="inlineStr">
        <is>
          <t>Divish</t>
        </is>
      </c>
      <c r="H39" s="7" t="inlineStr">
        <is>
          <t>T02</t>
        </is>
      </c>
      <c r="I39" s="7" t="inlineStr"/>
      <c r="J39" s="8">
        <f>IF(I39="FAIL",H39&amp;"-"&amp;TEXT(COUNTIF(H$5:H39,H39)-COUNTIF(I$5:I39,"PASS")-COUNTIF(I$5:I39,""),"000"),"")</f>
        <v/>
      </c>
      <c r="K39" s="7" t="inlineStr"/>
    </row>
    <row r="40" ht="48" customHeight="1">
      <c r="A40" s="9" t="inlineStr">
        <is>
          <t>TC-036</t>
        </is>
      </c>
      <c r="B40" s="10" t="inlineStr">
        <is>
          <t>Chatbot</t>
        </is>
      </c>
      <c r="C40" s="11" t="inlineStr">
        <is>
          <t>NEGATIVE</t>
        </is>
      </c>
      <c r="D40" s="12" t="inlineStr">
        <is>
          <t>Chat history persists after close</t>
        </is>
      </c>
      <c r="E40" s="12" t="inlineStr">
        <is>
          <t>Send messages. Close. Reopen chatbot.</t>
        </is>
      </c>
      <c r="F40" s="12" t="inlineStr">
        <is>
          <t>Previous messages still visible.</t>
        </is>
      </c>
      <c r="G40" s="12" t="inlineStr">
        <is>
          <t>Divish</t>
        </is>
      </c>
      <c r="H40" s="12" t="inlineStr">
        <is>
          <t>T02</t>
        </is>
      </c>
      <c r="I40" s="12" t="inlineStr"/>
      <c r="J40" s="13">
        <f>IF(I40="FAIL",H40&amp;"-"&amp;TEXT(COUNTIF(H$5:H40,H40)-COUNTIF(I$5:I40,"PASS")-COUNTIF(I$5:I40,""),"000"),"")</f>
        <v/>
      </c>
      <c r="K40" s="12" t="inlineStr"/>
    </row>
    <row r="41" ht="48" customHeight="1">
      <c r="A41" s="4" t="inlineStr">
        <is>
          <t>TC-037</t>
        </is>
      </c>
      <c r="B41" s="5" t="inlineStr">
        <is>
          <t>Referrals</t>
        </is>
      </c>
      <c r="C41" s="6" t="inlineStr">
        <is>
          <t>USE CASE</t>
        </is>
      </c>
      <c r="D41" s="7" t="inlineStr">
        <is>
          <t>Referral page loads with code</t>
        </is>
      </c>
      <c r="E41" s="7" t="inlineStr">
        <is>
          <t>Navigate to /app/referrals.</t>
        </is>
      </c>
      <c r="F41" s="7" t="inlineStr">
        <is>
          <t>BRAIN-XXXXXX code shown. Balance displayed.</t>
        </is>
      </c>
      <c r="G41" s="7" t="inlineStr">
        <is>
          <t>Divish</t>
        </is>
      </c>
      <c r="H41" s="7" t="inlineStr">
        <is>
          <t>T02</t>
        </is>
      </c>
      <c r="I41" s="7" t="inlineStr"/>
      <c r="J41" s="8">
        <f>IF(I41="FAIL",H41&amp;"-"&amp;TEXT(COUNTIF(H$5:H41,H41)-COUNTIF(I$5:I41,"PASS")-COUNTIF(I$5:I41,""),"000"),"")</f>
        <v/>
      </c>
      <c r="K41" s="7" t="inlineStr"/>
    </row>
    <row r="42" ht="48" customHeight="1">
      <c r="A42" s="9" t="inlineStr">
        <is>
          <t>TC-038</t>
        </is>
      </c>
      <c r="B42" s="10" t="inlineStr">
        <is>
          <t>Referrals</t>
        </is>
      </c>
      <c r="C42" s="11" t="inlineStr">
        <is>
          <t>NEGATIVE</t>
        </is>
      </c>
      <c r="D42" s="12" t="inlineStr">
        <is>
          <t>No referrals — empty state</t>
        </is>
      </c>
      <c r="E42" s="12" t="inlineStr">
        <is>
          <t>As new user, check My Referrals section.</t>
        </is>
      </c>
      <c r="F42" s="12" t="inlineStr">
        <is>
          <t>Empty state message. No errors.</t>
        </is>
      </c>
      <c r="G42" s="12" t="inlineStr">
        <is>
          <t>Divish</t>
        </is>
      </c>
      <c r="H42" s="12" t="inlineStr">
        <is>
          <t>T02</t>
        </is>
      </c>
      <c r="I42" s="12" t="inlineStr"/>
      <c r="J42" s="13">
        <f>IF(I42="FAIL",H42&amp;"-"&amp;TEXT(COUNTIF(H$5:H42,H42)-COUNTIF(I$5:I42,"PASS")-COUNTIF(I$5:I42,""),"000"),"")</f>
        <v/>
      </c>
      <c r="K42" s="12" t="inlineStr"/>
    </row>
    <row r="43" ht="48" customHeight="1">
      <c r="A43" s="4" t="inlineStr">
        <is>
          <t>TC-039</t>
        </is>
      </c>
      <c r="B43" s="5" t="inlineStr">
        <is>
          <t>Referrals</t>
        </is>
      </c>
      <c r="C43" s="6" t="inlineStr">
        <is>
          <t>USE CASE</t>
        </is>
      </c>
      <c r="D43" s="7" t="inlineStr">
        <is>
          <t>Copy referral code</t>
        </is>
      </c>
      <c r="E43" s="7" t="inlineStr">
        <is>
          <t>Click copy button.</t>
        </is>
      </c>
      <c r="F43" s="7" t="inlineStr">
        <is>
          <t>Copied to clipboard. Toast shown.</t>
        </is>
      </c>
      <c r="G43" s="7" t="inlineStr">
        <is>
          <t>Divish</t>
        </is>
      </c>
      <c r="H43" s="7" t="inlineStr">
        <is>
          <t>T02</t>
        </is>
      </c>
      <c r="I43" s="7" t="inlineStr"/>
      <c r="J43" s="8">
        <f>IF(I43="FAIL",H43&amp;"-"&amp;TEXT(COUNTIF(H$5:H43,H43)-COUNTIF(I$5:I43,"PASS")-COUNTIF(I$5:I43,""),"000"),"")</f>
        <v/>
      </c>
      <c r="K43" s="7" t="inlineStr"/>
    </row>
    <row r="44" ht="48" customHeight="1">
      <c r="A44" s="9" t="inlineStr">
        <is>
          <t>TC-040</t>
        </is>
      </c>
      <c r="B44" s="10" t="inlineStr">
        <is>
          <t>Referrals</t>
        </is>
      </c>
      <c r="C44" s="11" t="inlineStr">
        <is>
          <t>NEGATIVE</t>
        </is>
      </c>
      <c r="D44" s="12" t="inlineStr">
        <is>
          <t>Earning rules are correct</t>
        </is>
      </c>
      <c r="E44" s="12" t="inlineStr">
        <is>
          <t>Check rules section.</t>
        </is>
      </c>
      <c r="F44" s="12" t="inlineStr">
        <is>
          <t>Matches: Reg=5, Test=10, Pay2026=35, etc. Cap=20.</t>
        </is>
      </c>
      <c r="G44" s="12" t="inlineStr">
        <is>
          <t>Divish</t>
        </is>
      </c>
      <c r="H44" s="12" t="inlineStr">
        <is>
          <t>T02</t>
        </is>
      </c>
      <c r="I44" s="12" t="inlineStr"/>
      <c r="J44" s="13">
        <f>IF(I44="FAIL",H44&amp;"-"&amp;TEXT(COUNTIF(H$5:H44,H44)-COUNTIF(I$5:I44,"PASS")-COUNTIF(I$5:I44,""),"000"),"")</f>
        <v/>
      </c>
      <c r="K44" s="12" t="inlineStr"/>
    </row>
    <row r="45" ht="48" customHeight="1">
      <c r="A45" s="4" t="inlineStr">
        <is>
          <t>TC-041</t>
        </is>
      </c>
      <c r="B45" s="5" t="inlineStr">
        <is>
          <t>Profile</t>
        </is>
      </c>
      <c r="C45" s="6" t="inlineStr">
        <is>
          <t>USE CASE</t>
        </is>
      </c>
      <c r="D45" s="7" t="inlineStr">
        <is>
          <t>Profile shows your data</t>
        </is>
      </c>
      <c r="E45" s="7" t="inlineStr">
        <is>
          <t>Navigate to /app/profile.</t>
        </is>
      </c>
      <c r="F45" s="7" t="inlineStr">
        <is>
          <t>Avatar, email, name, phone, state, tier shown.</t>
        </is>
      </c>
      <c r="G45" s="7" t="inlineStr">
        <is>
          <t>Divish</t>
        </is>
      </c>
      <c r="H45" s="7" t="inlineStr">
        <is>
          <t>T02</t>
        </is>
      </c>
      <c r="I45" s="7" t="inlineStr"/>
      <c r="J45" s="8">
        <f>IF(I45="FAIL",H45&amp;"-"&amp;TEXT(COUNTIF(H$5:H45,H45)-COUNTIF(I$5:I45,"PASS")-COUNTIF(I$5:I45,""),"000"),"")</f>
        <v/>
      </c>
      <c r="K45" s="7" t="inlineStr"/>
    </row>
    <row r="46" ht="48" customHeight="1">
      <c r="A46" s="9" t="inlineStr">
        <is>
          <t>TC-042</t>
        </is>
      </c>
      <c r="B46" s="10" t="inlineStr">
        <is>
          <t>Profile</t>
        </is>
      </c>
      <c r="C46" s="11" t="inlineStr">
        <is>
          <t>NEGATIVE</t>
        </is>
      </c>
      <c r="D46" s="12" t="inlineStr">
        <is>
          <t>Avatar fallback if face fetch fails</t>
        </is>
      </c>
      <c r="E46" s="12" t="inlineStr">
        <is>
          <t>Check profile avatar.</t>
        </is>
      </c>
      <c r="F46" s="12" t="inlineStr">
        <is>
          <t>Default avatar/initials if face unavailable.</t>
        </is>
      </c>
      <c r="G46" s="12" t="inlineStr">
        <is>
          <t>Divish</t>
        </is>
      </c>
      <c r="H46" s="12" t="inlineStr">
        <is>
          <t>T02</t>
        </is>
      </c>
      <c r="I46" s="12" t="inlineStr"/>
      <c r="J46" s="13">
        <f>IF(I46="FAIL",H46&amp;"-"&amp;TEXT(COUNTIF(H$5:H46,H46)-COUNTIF(I$5:I46,"PASS")-COUNTIF(I$5:I46,""),"000"),"")</f>
        <v/>
      </c>
      <c r="K46" s="12" t="inlineStr"/>
    </row>
    <row r="47" ht="48" customHeight="1">
      <c r="A47" s="4" t="inlineStr">
        <is>
          <t>TC-043</t>
        </is>
      </c>
      <c r="B47" s="5" t="inlineStr">
        <is>
          <t>Profile</t>
        </is>
      </c>
      <c r="C47" s="6" t="inlineStr">
        <is>
          <t>USE CASE</t>
        </is>
      </c>
      <c r="D47" s="7" t="inlineStr">
        <is>
          <t>Edit phone number</t>
        </is>
      </c>
      <c r="E47" s="7" t="inlineStr">
        <is>
          <t>Edit phone. Enter valid number. Save.</t>
        </is>
      </c>
      <c r="F47" s="7" t="inlineStr">
        <is>
          <t>Phone updated. Reflected on page.</t>
        </is>
      </c>
      <c r="G47" s="7" t="inlineStr">
        <is>
          <t>Divish</t>
        </is>
      </c>
      <c r="H47" s="7" t="inlineStr">
        <is>
          <t>T02</t>
        </is>
      </c>
      <c r="I47" s="7" t="inlineStr"/>
      <c r="J47" s="8">
        <f>IF(I47="FAIL",H47&amp;"-"&amp;TEXT(COUNTIF(H$5:H47,H47)-COUNTIF(I$5:I47,"PASS")-COUNTIF(I$5:I47,""),"000"),"")</f>
        <v/>
      </c>
      <c r="K47" s="7" t="inlineStr"/>
    </row>
    <row r="48" ht="48" customHeight="1">
      <c r="A48" s="9" t="inlineStr">
        <is>
          <t>TC-044</t>
        </is>
      </c>
      <c r="B48" s="10" t="inlineStr">
        <is>
          <t>Profile</t>
        </is>
      </c>
      <c r="C48" s="11" t="inlineStr">
        <is>
          <t>NEGATIVE</t>
        </is>
      </c>
      <c r="D48" s="12" t="inlineStr">
        <is>
          <t>Theme toggle persists on refresh</t>
        </is>
      </c>
      <c r="E48" s="12" t="inlineStr">
        <is>
          <t>Toggle dark/light. Refresh page.</t>
        </is>
      </c>
      <c r="F48" s="12" t="inlineStr">
        <is>
          <t>Theme stays. Doesn't reset.</t>
        </is>
      </c>
      <c r="G48" s="12" t="inlineStr">
        <is>
          <t>Divish</t>
        </is>
      </c>
      <c r="H48" s="12" t="inlineStr">
        <is>
          <t>T02</t>
        </is>
      </c>
      <c r="I48" s="12" t="inlineStr"/>
      <c r="J48" s="13">
        <f>IF(I48="FAIL",H48&amp;"-"&amp;TEXT(COUNTIF(H$5:H48,H48)-COUNTIF(I$5:I48,"PASS")-COUNTIF(I$5:I48,""),"000"),"")</f>
        <v/>
      </c>
      <c r="K48" s="12" t="inlineStr"/>
    </row>
    <row r="49" ht="48" customHeight="1">
      <c r="A49" s="4" t="inlineStr">
        <is>
          <t>TC-045</t>
        </is>
      </c>
      <c r="B49" s="5" t="inlineStr">
        <is>
          <t>Sample Test</t>
        </is>
      </c>
      <c r="C49" s="6" t="inlineStr">
        <is>
          <t>USE CASE</t>
        </is>
      </c>
      <c r="D49" s="7" t="inlineStr">
        <is>
          <t>Sample test intro loads</t>
        </is>
      </c>
      <c r="E49" s="7" t="inlineStr">
        <is>
          <t>Go to /app/sample-test-intro.</t>
        </is>
      </c>
      <c r="F49" s="7" t="inlineStr">
        <is>
          <t>6 rules shown. Start button visible.</t>
        </is>
      </c>
      <c r="G49" s="7" t="inlineStr">
        <is>
          <t>Mugilan</t>
        </is>
      </c>
      <c r="H49" s="7" t="inlineStr">
        <is>
          <t>T03</t>
        </is>
      </c>
      <c r="I49" s="7" t="inlineStr"/>
      <c r="J49" s="8">
        <f>IF(I49="FAIL",H49&amp;"-"&amp;TEXT(COUNTIF(H$5:H49,H49)-COUNTIF(I$5:I49,"PASS")-COUNTIF(I$5:I49,""),"000"),"")</f>
        <v/>
      </c>
      <c r="K49" s="7" t="inlineStr"/>
    </row>
    <row r="50" ht="48" customHeight="1">
      <c r="A50" s="9" t="inlineStr">
        <is>
          <t>TC-046</t>
        </is>
      </c>
      <c r="B50" s="10" t="inlineStr">
        <is>
          <t>Sample Test</t>
        </is>
      </c>
      <c r="C50" s="11" t="inlineStr">
        <is>
          <t>NEGATIVE</t>
        </is>
      </c>
      <c r="D50" s="12" t="inlineStr">
        <is>
          <t>No proctoring in sample mode</t>
        </is>
      </c>
      <c r="E50" s="12" t="inlineStr">
        <is>
          <t>Start sample test. Check for camera prompt.</t>
        </is>
      </c>
      <c r="F50" s="12" t="inlineStr">
        <is>
          <t>No camera. No proctoring. No full-screen lock.</t>
        </is>
      </c>
      <c r="G50" s="12" t="inlineStr">
        <is>
          <t>Mugilan</t>
        </is>
      </c>
      <c r="H50" s="12" t="inlineStr">
        <is>
          <t>T03</t>
        </is>
      </c>
      <c r="I50" s="12" t="inlineStr"/>
      <c r="J50" s="13">
        <f>IF(I50="FAIL",H50&amp;"-"&amp;TEXT(COUNTIF(H$5:H50,H50)-COUNTIF(I$5:I50,"PASS")-COUNTIF(I$5:I50,""),"000"),"")</f>
        <v/>
      </c>
      <c r="K50" s="12" t="inlineStr"/>
    </row>
    <row r="51" ht="48" customHeight="1">
      <c r="A51" s="4" t="inlineStr">
        <is>
          <t>TC-047</t>
        </is>
      </c>
      <c r="B51" s="5" t="inlineStr">
        <is>
          <t>Sample Test</t>
        </is>
      </c>
      <c r="C51" s="6" t="inlineStr">
        <is>
          <t>USE CASE</t>
        </is>
      </c>
      <c r="D51" s="7" t="inlineStr">
        <is>
          <t>15 questions enabled, rest locked</t>
        </is>
      </c>
      <c r="E51" s="7" t="inlineStr">
        <is>
          <t>Start test. Count interactive questions.</t>
        </is>
      </c>
      <c r="F51" s="7" t="inlineStr">
        <is>
          <t>15 answerable (5/subject). Rest locked.</t>
        </is>
      </c>
      <c r="G51" s="7" t="inlineStr">
        <is>
          <t>Mugilan</t>
        </is>
      </c>
      <c r="H51" s="7" t="inlineStr">
        <is>
          <t>T03</t>
        </is>
      </c>
      <c r="I51" s="7" t="inlineStr"/>
      <c r="J51" s="8">
        <f>IF(I51="FAIL",H51&amp;"-"&amp;TEXT(COUNTIF(H$5:H51,H51)-COUNTIF(I$5:I51,"PASS")-COUNTIF(I$5:I51,""),"000"),"")</f>
        <v/>
      </c>
      <c r="K51" s="7" t="inlineStr"/>
    </row>
    <row r="52" ht="48" customHeight="1">
      <c r="A52" s="9" t="inlineStr">
        <is>
          <t>TC-048</t>
        </is>
      </c>
      <c r="B52" s="10" t="inlineStr">
        <is>
          <t>Sample Test</t>
        </is>
      </c>
      <c r="C52" s="11" t="inlineStr">
        <is>
          <t>NEGATIVE</t>
        </is>
      </c>
      <c r="D52" s="12" t="inlineStr">
        <is>
          <t>Click a locked question</t>
        </is>
      </c>
      <c r="E52" s="12" t="inlineStr">
        <is>
          <t>Click question #6 in any subject.</t>
        </is>
      </c>
      <c r="F52" s="12" t="inlineStr">
        <is>
          <t>No interaction. Lock indicator stays.</t>
        </is>
      </c>
      <c r="G52" s="12" t="inlineStr">
        <is>
          <t>Mugilan</t>
        </is>
      </c>
      <c r="H52" s="12" t="inlineStr">
        <is>
          <t>T03</t>
        </is>
      </c>
      <c r="I52" s="12" t="inlineStr"/>
      <c r="J52" s="13">
        <f>IF(I52="FAIL",H52&amp;"-"&amp;TEXT(COUNTIF(H$5:H52,H52)-COUNTIF(I$5:I52,"PASS")-COUNTIF(I$5:I52,""),"000"),"")</f>
        <v/>
      </c>
      <c r="K52" s="12" t="inlineStr"/>
    </row>
    <row r="53" ht="48" customHeight="1">
      <c r="A53" s="4" t="inlineStr">
        <is>
          <t>TC-049</t>
        </is>
      </c>
      <c r="B53" s="5" t="inlineStr">
        <is>
          <t>Sample Test</t>
        </is>
      </c>
      <c r="C53" s="6" t="inlineStr">
        <is>
          <t>USE CASE</t>
        </is>
      </c>
      <c r="D53" s="7" t="inlineStr">
        <is>
          <t>Submit and view results</t>
        </is>
      </c>
      <c r="E53" s="7" t="inlineStr">
        <is>
          <t>Answer some. Submit. View results.</t>
        </is>
      </c>
      <c r="F53" s="7" t="inlineStr">
        <is>
          <t>Submission OK. Results with score shown.</t>
        </is>
      </c>
      <c r="G53" s="7" t="inlineStr">
        <is>
          <t>Mugilan</t>
        </is>
      </c>
      <c r="H53" s="7" t="inlineStr">
        <is>
          <t>T03</t>
        </is>
      </c>
      <c r="I53" s="7" t="inlineStr"/>
      <c r="J53" s="8">
        <f>IF(I53="FAIL",H53&amp;"-"&amp;TEXT(COUNTIF(H$5:H53,H53)-COUNTIF(I$5:I53,"PASS")-COUNTIF(I$5:I53,""),"000"),"")</f>
        <v/>
      </c>
      <c r="K53" s="7" t="inlineStr"/>
    </row>
    <row r="54" ht="48" customHeight="1">
      <c r="A54" s="9" t="inlineStr">
        <is>
          <t>TC-050</t>
        </is>
      </c>
      <c r="B54" s="10" t="inlineStr">
        <is>
          <t>Sample Test</t>
        </is>
      </c>
      <c r="C54" s="11" t="inlineStr">
        <is>
          <t>NEGATIVE</t>
        </is>
      </c>
      <c r="D54" s="12" t="inlineStr">
        <is>
          <t>Questions from DB not hardcoded</t>
        </is>
      </c>
      <c r="E54" s="12" t="inlineStr">
        <is>
          <t>DevTools → Network. Check API calls.</t>
        </is>
      </c>
      <c r="F54" s="12" t="inlineStr">
        <is>
          <t>Supabase API call for real questions.</t>
        </is>
      </c>
      <c r="G54" s="12" t="inlineStr">
        <is>
          <t>Mugilan</t>
        </is>
      </c>
      <c r="H54" s="12" t="inlineStr">
        <is>
          <t>T03</t>
        </is>
      </c>
      <c r="I54" s="12" t="inlineStr"/>
      <c r="J54" s="13">
        <f>IF(I54="FAIL",H54&amp;"-"&amp;TEXT(COUNTIF(H$5:H54,H54)-COUNTIF(I$5:I54,"PASS")-COUNTIF(I$5:I54,""),"000"),"")</f>
        <v/>
      </c>
      <c r="K54" s="12" t="inlineStr"/>
    </row>
    <row r="55" ht="48" customHeight="1">
      <c r="A55" s="4" t="inlineStr">
        <is>
          <t>TC-051</t>
        </is>
      </c>
      <c r="B55" s="5" t="inlineStr">
        <is>
          <t>Gold Planner</t>
        </is>
      </c>
      <c r="C55" s="6" t="inlineStr">
        <is>
          <t>USE CASE</t>
        </is>
      </c>
      <c r="D55" s="7" t="inlineStr">
        <is>
          <t>Gold planner page loads</t>
        </is>
      </c>
      <c r="E55" s="7" t="inlineStr">
        <is>
          <t>Go to /app/gold-simulator.</t>
        </is>
      </c>
      <c r="F55" s="7" t="inlineStr">
        <is>
          <t>Loads. Demo/full mode per user state.</t>
        </is>
      </c>
      <c r="G55" s="7" t="inlineStr">
        <is>
          <t>Mugilan</t>
        </is>
      </c>
      <c r="H55" s="7" t="inlineStr">
        <is>
          <t>T03</t>
        </is>
      </c>
      <c r="I55" s="7" t="inlineStr"/>
      <c r="J55" s="8">
        <f>IF(I55="FAIL",H55&amp;"-"&amp;TEXT(COUNTIF(H$5:H55,H55)-COUNTIF(I$5:I55,"PASS")-COUNTIF(I$5:I55,""),"000"),"")</f>
        <v/>
      </c>
      <c r="K55" s="7" t="inlineStr"/>
    </row>
    <row r="56" ht="48" customHeight="1">
      <c r="A56" s="9" t="inlineStr">
        <is>
          <t>TC-052</t>
        </is>
      </c>
      <c r="B56" s="10" t="inlineStr">
        <is>
          <t>Gold Planner</t>
        </is>
      </c>
      <c r="C56" s="11" t="inlineStr">
        <is>
          <t>NEGATIVE</t>
        </is>
      </c>
      <c r="D56" s="12" t="inlineStr">
        <is>
          <t>Free user — planner restricted</t>
        </is>
      </c>
      <c r="E56" s="12" t="inlineStr">
        <is>
          <t>As free user (no test), try Gold planner.</t>
        </is>
      </c>
      <c r="F56" s="12" t="inlineStr">
        <is>
          <t>Disabled or demo-only. Cannot create plan.</t>
        </is>
      </c>
      <c r="G56" s="12" t="inlineStr">
        <is>
          <t>Mugilan</t>
        </is>
      </c>
      <c r="H56" s="12" t="inlineStr">
        <is>
          <t>T03</t>
        </is>
      </c>
      <c r="I56" s="12" t="inlineStr"/>
      <c r="J56" s="13">
        <f>IF(I56="FAIL",H56&amp;"-"&amp;TEXT(COUNTIF(H$5:H56,H56)-COUNTIF(I$5:I56,"PASS")-COUNTIF(I$5:I56,""),"000"),"")</f>
        <v/>
      </c>
      <c r="K56" s="12" t="inlineStr"/>
    </row>
    <row r="57" ht="48" customHeight="1">
      <c r="A57" s="4" t="inlineStr">
        <is>
          <t>TC-053</t>
        </is>
      </c>
      <c r="B57" s="5" t="inlineStr">
        <is>
          <t>Gold Planner</t>
        </is>
      </c>
      <c r="C57" s="6" t="inlineStr">
        <is>
          <t>USE CASE</t>
        </is>
      </c>
      <c r="D57" s="7" t="inlineStr">
        <is>
          <t>Navigate S0–S7 stages</t>
        </is>
      </c>
      <c r="E57" s="7" t="inlineStr">
        <is>
          <t>Progress through all 8 stages.</t>
        </is>
      </c>
      <c r="F57" s="7" t="inlineStr">
        <is>
          <t>Each loads. Data carries forward. Can go back.</t>
        </is>
      </c>
      <c r="G57" s="7" t="inlineStr">
        <is>
          <t>Mugilan</t>
        </is>
      </c>
      <c r="H57" s="7" t="inlineStr">
        <is>
          <t>T03</t>
        </is>
      </c>
      <c r="I57" s="7" t="inlineStr"/>
      <c r="J57" s="8">
        <f>IF(I57="FAIL",H57&amp;"-"&amp;TEXT(COUNTIF(H$5:H57,H57)-COUNTIF(I$5:I57,"PASS")-COUNTIF(I$5:I57,""),"000"),"")</f>
        <v/>
      </c>
      <c r="K57" s="7" t="inlineStr"/>
    </row>
    <row r="58" ht="48" customHeight="1">
      <c r="A58" s="9" t="inlineStr">
        <is>
          <t>TC-054</t>
        </is>
      </c>
      <c r="B58" s="10" t="inlineStr">
        <is>
          <t>Gold Planner</t>
        </is>
      </c>
      <c r="C58" s="11" t="inlineStr">
        <is>
          <t>NEGATIVE</t>
        </is>
      </c>
      <c r="D58" s="12" t="inlineStr">
        <is>
          <t>Gold planner mobile layout</t>
        </is>
      </c>
      <c r="E58" s="12" t="inlineStr">
        <is>
          <t>Open Gold on mobile. Navigate stages.</t>
        </is>
      </c>
      <c r="F58" s="12" t="inlineStr">
        <is>
          <t>No overflow. Content fits. Touch works.</t>
        </is>
      </c>
      <c r="G58" s="12" t="inlineStr">
        <is>
          <t>Mugilan</t>
        </is>
      </c>
      <c r="H58" s="12" t="inlineStr">
        <is>
          <t>T03</t>
        </is>
      </c>
      <c r="I58" s="12" t="inlineStr"/>
      <c r="J58" s="13">
        <f>IF(I58="FAIL",H58&amp;"-"&amp;TEXT(COUNTIF(H$5:H58,H58)-COUNTIF(I$5:I58,"PASS")-COUNTIF(I$5:I58,""),"000"),"")</f>
        <v/>
      </c>
      <c r="K58" s="12" t="inlineStr"/>
    </row>
    <row r="59" ht="48" customHeight="1">
      <c r="A59" s="4" t="inlineStr">
        <is>
          <t>TC-055</t>
        </is>
      </c>
      <c r="B59" s="5" t="inlineStr">
        <is>
          <t>PWA</t>
        </is>
      </c>
      <c r="C59" s="6" t="inlineStr">
        <is>
          <t>USE CASE</t>
        </is>
      </c>
      <c r="D59" s="7" t="inlineStr">
        <is>
          <t>PWA install prompt on Android</t>
        </is>
      </c>
      <c r="E59" s="7" t="inlineStr">
        <is>
          <t>Open site on Android Chrome. Wait.</t>
        </is>
      </c>
      <c r="F59" s="7" t="inlineStr">
        <is>
          <t>Install banner appears. Native dialog on tap.</t>
        </is>
      </c>
      <c r="G59" s="7" t="inlineStr">
        <is>
          <t>Mugilan</t>
        </is>
      </c>
      <c r="H59" s="7" t="inlineStr">
        <is>
          <t>T03</t>
        </is>
      </c>
      <c r="I59" s="7" t="inlineStr"/>
      <c r="J59" s="8">
        <f>IF(I59="FAIL",H59&amp;"-"&amp;TEXT(COUNTIF(H$5:H59,H59)-COUNTIF(I$5:I59,"PASS")-COUNTIF(I$5:I59,""),"000"),"")</f>
        <v/>
      </c>
      <c r="K59" s="7" t="inlineStr"/>
    </row>
    <row r="60" ht="48" customHeight="1">
      <c r="A60" s="9" t="inlineStr">
        <is>
          <t>TC-056</t>
        </is>
      </c>
      <c r="B60" s="10" t="inlineStr">
        <is>
          <t>PWA</t>
        </is>
      </c>
      <c r="C60" s="11" t="inlineStr">
        <is>
          <t>NEGATIVE</t>
        </is>
      </c>
      <c r="D60" s="12" t="inlineStr">
        <is>
          <t>No PWA prompt on desktop</t>
        </is>
      </c>
      <c r="E60" s="12" t="inlineStr">
        <is>
          <t>Open site on desktop.</t>
        </is>
      </c>
      <c r="F60" s="12" t="inlineStr">
        <is>
          <t>No install prompt shown.</t>
        </is>
      </c>
      <c r="G60" s="12" t="inlineStr">
        <is>
          <t>Mugilan</t>
        </is>
      </c>
      <c r="H60" s="12" t="inlineStr">
        <is>
          <t>T03</t>
        </is>
      </c>
      <c r="I60" s="12" t="inlineStr"/>
      <c r="J60" s="13">
        <f>IF(I60="FAIL",H60&amp;"-"&amp;TEXT(COUNTIF(H$5:H60,H60)-COUNTIF(I$5:I60,"PASS")-COUNTIF(I$5:I60,""),"000"),"")</f>
        <v/>
      </c>
      <c r="K60" s="12" t="inlineStr"/>
    </row>
    <row r="61" ht="48" customHeight="1">
      <c r="A61" s="4" t="inlineStr">
        <is>
          <t>TC-057</t>
        </is>
      </c>
      <c r="B61" s="5" t="inlineStr">
        <is>
          <t>PWA</t>
        </is>
      </c>
      <c r="C61" s="6" t="inlineStr">
        <is>
          <t>USE CASE</t>
        </is>
      </c>
      <c r="D61" s="7" t="inlineStr">
        <is>
          <t>PWA iOS guide</t>
        </is>
      </c>
      <c r="E61" s="7" t="inlineStr">
        <is>
          <t>Open site on iOS Safari.</t>
        </is>
      </c>
      <c r="F61" s="7" t="inlineStr">
        <is>
          <t>Manual guide: Share → Add to Home Screen.</t>
        </is>
      </c>
      <c r="G61" s="7" t="inlineStr">
        <is>
          <t>Mugilan</t>
        </is>
      </c>
      <c r="H61" s="7" t="inlineStr">
        <is>
          <t>T03</t>
        </is>
      </c>
      <c r="I61" s="7" t="inlineStr"/>
      <c r="J61" s="8">
        <f>IF(I61="FAIL",H61&amp;"-"&amp;TEXT(COUNTIF(H$5:H61,H61)-COUNTIF(I$5:I61,"PASS")-COUNTIF(I$5:I61,""),"000"),"")</f>
        <v/>
      </c>
      <c r="K61" s="7" t="inlineStr"/>
    </row>
    <row r="62" ht="48" customHeight="1">
      <c r="A62" s="9" t="inlineStr">
        <is>
          <t>TC-058</t>
        </is>
      </c>
      <c r="B62" s="10" t="inlineStr">
        <is>
          <t>PWA</t>
        </is>
      </c>
      <c r="C62" s="11" t="inlineStr">
        <is>
          <t>NEGATIVE</t>
        </is>
      </c>
      <c r="D62" s="12" t="inlineStr">
        <is>
          <t>Dismiss PWA = 3-day block</t>
        </is>
      </c>
      <c r="E62" s="12" t="inlineStr">
        <is>
          <t>Dismiss prompt. Refresh.</t>
        </is>
      </c>
      <c r="F62" s="12" t="inlineStr">
        <is>
          <t>Prompt doesn't reappear.</t>
        </is>
      </c>
      <c r="G62" s="12" t="inlineStr">
        <is>
          <t>Mugilan</t>
        </is>
      </c>
      <c r="H62" s="12" t="inlineStr">
        <is>
          <t>T03</t>
        </is>
      </c>
      <c r="I62" s="12" t="inlineStr"/>
      <c r="J62" s="13">
        <f>IF(I62="FAIL",H62&amp;"-"&amp;TEXT(COUNTIF(H$5:H62,H62)-COUNTIF(I$5:I62,"PASS")-COUNTIF(I$5:I62,""),"000"),"")</f>
        <v/>
      </c>
      <c r="K62" s="12" t="inlineStr"/>
    </row>
    <row r="63" ht="48" customHeight="1">
      <c r="A63" s="4" t="inlineStr">
        <is>
          <t>TC-059</t>
        </is>
      </c>
      <c r="B63" s="5" t="inlineStr">
        <is>
          <t>Cross-Browser</t>
        </is>
      </c>
      <c r="C63" s="6" t="inlineStr">
        <is>
          <t>USE CASE</t>
        </is>
      </c>
      <c r="D63" s="7" t="inlineStr">
        <is>
          <t>Overall mobile responsiveness</t>
        </is>
      </c>
      <c r="E63" s="7" t="inlineStr">
        <is>
          <t>Browse entire app on mobile.</t>
        </is>
      </c>
      <c r="F63" s="7" t="inlineStr">
        <is>
          <t>All pages mobile-friendly. No cut-off.</t>
        </is>
      </c>
      <c r="G63" s="7" t="inlineStr">
        <is>
          <t>Mugilan</t>
        </is>
      </c>
      <c r="H63" s="7" t="inlineStr">
        <is>
          <t>T03</t>
        </is>
      </c>
      <c r="I63" s="7" t="inlineStr"/>
      <c r="J63" s="8">
        <f>IF(I63="FAIL",H63&amp;"-"&amp;TEXT(COUNTIF(H$5:H63,H63)-COUNTIF(I$5:I63,"PASS")-COUNTIF(I$5:I63,""),"000"),"")</f>
        <v/>
      </c>
      <c r="K63" s="7" t="inlineStr"/>
    </row>
    <row r="64" ht="48" customHeight="1">
      <c r="A64" s="9" t="inlineStr">
        <is>
          <t>TC-060</t>
        </is>
      </c>
      <c r="B64" s="10" t="inlineStr">
        <is>
          <t>Cross-Browser</t>
        </is>
      </c>
      <c r="C64" s="11" t="inlineStr">
        <is>
          <t>NEGATIVE</t>
        </is>
      </c>
      <c r="D64" s="12" t="inlineStr">
        <is>
          <t>Chrome vs Edge consistency</t>
        </is>
      </c>
      <c r="E64" s="12" t="inlineStr">
        <is>
          <t>Open on Chrome and Edge. Navigate.</t>
        </is>
      </c>
      <c r="F64" s="12" t="inlineStr">
        <is>
          <t>Identical behavior. No layout breaks.</t>
        </is>
      </c>
      <c r="G64" s="12" t="inlineStr">
        <is>
          <t>Mugilan</t>
        </is>
      </c>
      <c r="H64" s="12" t="inlineStr">
        <is>
          <t>T03</t>
        </is>
      </c>
      <c r="I64" s="12" t="inlineStr"/>
      <c r="J64" s="13">
        <f>IF(I64="FAIL",H64&amp;"-"&amp;TEXT(COUNTIF(H$5:H64,H64)-COUNTIF(I$5:I64,"PASS")-COUNTIF(I$5:I64,""),"000"),"")</f>
        <v/>
      </c>
      <c r="K64" s="12" t="inlineStr"/>
    </row>
  </sheetData>
  <autoFilter ref="A4:K64"/>
  <mergeCells count="2">
    <mergeCell ref="A2:K2"/>
    <mergeCell ref="A1:K1"/>
  </mergeCells>
  <conditionalFormatting sqref="I5:I6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1" errorTitle="Invalid Status" error="Please select PASS, FAIL, BLOCKED, or SKIPPED" type="list">
      <formula1>"PASS,FAIL,BLOCKED,SKIPPED"</formula1>
    </dataValidation>
  </dataValidation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10" customWidth="1" min="3" max="3"/>
    <col width="14" customWidth="1" min="4" max="4"/>
    <col width="12" customWidth="1" min="5" max="5"/>
    <col width="30" customWidth="1" min="6" max="6"/>
    <col width="12" customWidth="1" min="7" max="7"/>
    <col width="45" customWidth="1" min="8" max="8"/>
    <col width="25" customWidth="1" min="9" max="9"/>
  </cols>
  <sheetData>
    <row r="1" ht="36" customHeight="1">
      <c r="A1" s="1" t="inlineStr">
        <is>
          <t>BUG LOG — Auto-generated from Test Failures</t>
        </is>
      </c>
    </row>
    <row r="2">
      <c r="A2" s="2" t="inlineStr">
        <is>
          <t>Bugs are auto-indexed below. Fill Description, Severity, and Screenshots for each failure.</t>
        </is>
      </c>
    </row>
    <row r="4">
      <c r="A4" s="14" t="inlineStr">
        <is>
          <t>#</t>
        </is>
      </c>
      <c r="B4" s="14" t="inlineStr">
        <is>
          <t>Bug ID</t>
        </is>
      </c>
      <c r="C4" s="14" t="inlineStr">
        <is>
          <t>TC ID</t>
        </is>
      </c>
      <c r="D4" s="14" t="inlineStr">
        <is>
          <t>Module</t>
        </is>
      </c>
      <c r="E4" s="14" t="inlineStr">
        <is>
          <t>Tester</t>
        </is>
      </c>
      <c r="F4" s="14" t="inlineStr">
        <is>
          <t>Scenario</t>
        </is>
      </c>
      <c r="G4" s="14" t="inlineStr">
        <is>
          <t>Severity</t>
        </is>
      </c>
      <c r="H4" s="14" t="inlineStr">
        <is>
          <t>Description / Steps to Reproduce</t>
        </is>
      </c>
      <c r="I4" s="14" t="inlineStr">
        <is>
          <t>Screenshot Link</t>
        </is>
      </c>
    </row>
    <row r="5" ht="36" customHeight="1">
      <c r="A5" s="5" t="n">
        <v>1</v>
      </c>
      <c r="B5" s="7" t="n"/>
      <c r="C5" s="7" t="n"/>
      <c r="D5" s="7" t="n"/>
      <c r="E5" s="7" t="n"/>
      <c r="F5" s="7" t="n"/>
      <c r="G5" s="7" t="n"/>
      <c r="H5" s="7" t="n"/>
      <c r="I5" s="7" t="n"/>
    </row>
    <row r="6" ht="36" customHeight="1">
      <c r="A6" s="5" t="n">
        <v>2</v>
      </c>
      <c r="B6" s="7" t="n"/>
      <c r="C6" s="7" t="n"/>
      <c r="D6" s="7" t="n"/>
      <c r="E6" s="7" t="n"/>
      <c r="F6" s="7" t="n"/>
      <c r="G6" s="7" t="n"/>
      <c r="H6" s="7" t="n"/>
      <c r="I6" s="7" t="n"/>
    </row>
    <row r="7" ht="36" customHeight="1">
      <c r="A7" s="5" t="n">
        <v>3</v>
      </c>
      <c r="B7" s="7" t="n"/>
      <c r="C7" s="7" t="n"/>
      <c r="D7" s="7" t="n"/>
      <c r="E7" s="7" t="n"/>
      <c r="F7" s="7" t="n"/>
      <c r="G7" s="7" t="n"/>
      <c r="H7" s="7" t="n"/>
      <c r="I7" s="7" t="n"/>
    </row>
    <row r="8" ht="36" customHeight="1">
      <c r="A8" s="5" t="n">
        <v>4</v>
      </c>
      <c r="B8" s="7" t="n"/>
      <c r="C8" s="7" t="n"/>
      <c r="D8" s="7" t="n"/>
      <c r="E8" s="7" t="n"/>
      <c r="F8" s="7" t="n"/>
      <c r="G8" s="7" t="n"/>
      <c r="H8" s="7" t="n"/>
      <c r="I8" s="7" t="n"/>
    </row>
    <row r="9" ht="36" customHeight="1">
      <c r="A9" s="5" t="n">
        <v>5</v>
      </c>
      <c r="B9" s="7" t="n"/>
      <c r="C9" s="7" t="n"/>
      <c r="D9" s="7" t="n"/>
      <c r="E9" s="7" t="n"/>
      <c r="F9" s="7" t="n"/>
      <c r="G9" s="7" t="n"/>
      <c r="H9" s="7" t="n"/>
      <c r="I9" s="7" t="n"/>
    </row>
    <row r="10" ht="36" customHeight="1">
      <c r="A10" s="5" t="n">
        <v>6</v>
      </c>
      <c r="B10" s="7" t="n"/>
      <c r="C10" s="7" t="n"/>
      <c r="D10" s="7" t="n"/>
      <c r="E10" s="7" t="n"/>
      <c r="F10" s="7" t="n"/>
      <c r="G10" s="7" t="n"/>
      <c r="H10" s="7" t="n"/>
      <c r="I10" s="7" t="n"/>
    </row>
    <row r="11" ht="36" customHeight="1">
      <c r="A11" s="5" t="n">
        <v>7</v>
      </c>
      <c r="B11" s="7" t="n"/>
      <c r="C11" s="7" t="n"/>
      <c r="D11" s="7" t="n"/>
      <c r="E11" s="7" t="n"/>
      <c r="F11" s="7" t="n"/>
      <c r="G11" s="7" t="n"/>
      <c r="H11" s="7" t="n"/>
      <c r="I11" s="7" t="n"/>
    </row>
    <row r="12" ht="36" customHeight="1">
      <c r="A12" s="5" t="n">
        <v>8</v>
      </c>
      <c r="B12" s="7" t="n"/>
      <c r="C12" s="7" t="n"/>
      <c r="D12" s="7" t="n"/>
      <c r="E12" s="7" t="n"/>
      <c r="F12" s="7" t="n"/>
      <c r="G12" s="7" t="n"/>
      <c r="H12" s="7" t="n"/>
      <c r="I12" s="7" t="n"/>
    </row>
    <row r="13" ht="36" customHeight="1">
      <c r="A13" s="5" t="n">
        <v>9</v>
      </c>
      <c r="B13" s="7" t="n"/>
      <c r="C13" s="7" t="n"/>
      <c r="D13" s="7" t="n"/>
      <c r="E13" s="7" t="n"/>
      <c r="F13" s="7" t="n"/>
      <c r="G13" s="7" t="n"/>
      <c r="H13" s="7" t="n"/>
      <c r="I13" s="7" t="n"/>
    </row>
    <row r="14" ht="36" customHeight="1">
      <c r="A14" s="5" t="n">
        <v>10</v>
      </c>
      <c r="B14" s="7" t="n"/>
      <c r="C14" s="7" t="n"/>
      <c r="D14" s="7" t="n"/>
      <c r="E14" s="7" t="n"/>
      <c r="F14" s="7" t="n"/>
      <c r="G14" s="7" t="n"/>
      <c r="H14" s="7" t="n"/>
      <c r="I14" s="7" t="n"/>
    </row>
    <row r="15" ht="36" customHeight="1">
      <c r="A15" s="5" t="n">
        <v>11</v>
      </c>
      <c r="B15" s="7" t="n"/>
      <c r="C15" s="7" t="n"/>
      <c r="D15" s="7" t="n"/>
      <c r="E15" s="7" t="n"/>
      <c r="F15" s="7" t="n"/>
      <c r="G15" s="7" t="n"/>
      <c r="H15" s="7" t="n"/>
      <c r="I15" s="7" t="n"/>
    </row>
    <row r="16" ht="36" customHeight="1">
      <c r="A16" s="5" t="n">
        <v>12</v>
      </c>
      <c r="B16" s="7" t="n"/>
      <c r="C16" s="7" t="n"/>
      <c r="D16" s="7" t="n"/>
      <c r="E16" s="7" t="n"/>
      <c r="F16" s="7" t="n"/>
      <c r="G16" s="7" t="n"/>
      <c r="H16" s="7" t="n"/>
      <c r="I16" s="7" t="n"/>
    </row>
    <row r="17" ht="36" customHeight="1">
      <c r="A17" s="5" t="n">
        <v>13</v>
      </c>
      <c r="B17" s="7" t="n"/>
      <c r="C17" s="7" t="n"/>
      <c r="D17" s="7" t="n"/>
      <c r="E17" s="7" t="n"/>
      <c r="F17" s="7" t="n"/>
      <c r="G17" s="7" t="n"/>
      <c r="H17" s="7" t="n"/>
      <c r="I17" s="7" t="n"/>
    </row>
    <row r="18" ht="36" customHeight="1">
      <c r="A18" s="5" t="n">
        <v>14</v>
      </c>
      <c r="B18" s="7" t="n"/>
      <c r="C18" s="7" t="n"/>
      <c r="D18" s="7" t="n"/>
      <c r="E18" s="7" t="n"/>
      <c r="F18" s="7" t="n"/>
      <c r="G18" s="7" t="n"/>
      <c r="H18" s="7" t="n"/>
      <c r="I18" s="7" t="n"/>
    </row>
    <row r="19" ht="36" customHeight="1">
      <c r="A19" s="5" t="n">
        <v>15</v>
      </c>
      <c r="B19" s="7" t="n"/>
      <c r="C19" s="7" t="n"/>
      <c r="D19" s="7" t="n"/>
      <c r="E19" s="7" t="n"/>
      <c r="F19" s="7" t="n"/>
      <c r="G19" s="7" t="n"/>
      <c r="H19" s="7" t="n"/>
      <c r="I19" s="7" t="n"/>
    </row>
    <row r="20" ht="36" customHeight="1">
      <c r="A20" s="5" t="n">
        <v>16</v>
      </c>
      <c r="B20" s="7" t="n"/>
      <c r="C20" s="7" t="n"/>
      <c r="D20" s="7" t="n"/>
      <c r="E20" s="7" t="n"/>
      <c r="F20" s="7" t="n"/>
      <c r="G20" s="7" t="n"/>
      <c r="H20" s="7" t="n"/>
      <c r="I20" s="7" t="n"/>
    </row>
    <row r="21" ht="36" customHeight="1">
      <c r="A21" s="5" t="n">
        <v>17</v>
      </c>
      <c r="B21" s="7" t="n"/>
      <c r="C21" s="7" t="n"/>
      <c r="D21" s="7" t="n"/>
      <c r="E21" s="7" t="n"/>
      <c r="F21" s="7" t="n"/>
      <c r="G21" s="7" t="n"/>
      <c r="H21" s="7" t="n"/>
      <c r="I21" s="7" t="n"/>
    </row>
    <row r="22" ht="36" customHeight="1">
      <c r="A22" s="5" t="n">
        <v>18</v>
      </c>
      <c r="B22" s="7" t="n"/>
      <c r="C22" s="7" t="n"/>
      <c r="D22" s="7" t="n"/>
      <c r="E22" s="7" t="n"/>
      <c r="F22" s="7" t="n"/>
      <c r="G22" s="7" t="n"/>
      <c r="H22" s="7" t="n"/>
      <c r="I22" s="7" t="n"/>
    </row>
    <row r="23" ht="36" customHeight="1">
      <c r="A23" s="5" t="n">
        <v>19</v>
      </c>
      <c r="B23" s="7" t="n"/>
      <c r="C23" s="7" t="n"/>
      <c r="D23" s="7" t="n"/>
      <c r="E23" s="7" t="n"/>
      <c r="F23" s="7" t="n"/>
      <c r="G23" s="7" t="n"/>
      <c r="H23" s="7" t="n"/>
      <c r="I23" s="7" t="n"/>
    </row>
    <row r="24" ht="36" customHeight="1">
      <c r="A24" s="5" t="n">
        <v>20</v>
      </c>
      <c r="B24" s="7" t="n"/>
      <c r="C24" s="7" t="n"/>
      <c r="D24" s="7" t="n"/>
      <c r="E24" s="7" t="n"/>
      <c r="F24" s="7" t="n"/>
      <c r="G24" s="7" t="n"/>
      <c r="H24" s="7" t="n"/>
      <c r="I24" s="7" t="n"/>
    </row>
    <row r="25" ht="36" customHeight="1">
      <c r="A25" s="5" t="n">
        <v>21</v>
      </c>
      <c r="B25" s="7" t="n"/>
      <c r="C25" s="7" t="n"/>
      <c r="D25" s="7" t="n"/>
      <c r="E25" s="7" t="n"/>
      <c r="F25" s="7" t="n"/>
      <c r="G25" s="7" t="n"/>
      <c r="H25" s="7" t="n"/>
      <c r="I25" s="7" t="n"/>
    </row>
    <row r="26" ht="36" customHeight="1">
      <c r="A26" s="5" t="n">
        <v>22</v>
      </c>
      <c r="B26" s="7" t="n"/>
      <c r="C26" s="7" t="n"/>
      <c r="D26" s="7" t="n"/>
      <c r="E26" s="7" t="n"/>
      <c r="F26" s="7" t="n"/>
      <c r="G26" s="7" t="n"/>
      <c r="H26" s="7" t="n"/>
      <c r="I26" s="7" t="n"/>
    </row>
    <row r="27" ht="36" customHeight="1">
      <c r="A27" s="5" t="n">
        <v>23</v>
      </c>
      <c r="B27" s="7" t="n"/>
      <c r="C27" s="7" t="n"/>
      <c r="D27" s="7" t="n"/>
      <c r="E27" s="7" t="n"/>
      <c r="F27" s="7" t="n"/>
      <c r="G27" s="7" t="n"/>
      <c r="H27" s="7" t="n"/>
      <c r="I27" s="7" t="n"/>
    </row>
    <row r="28" ht="36" customHeight="1">
      <c r="A28" s="5" t="n">
        <v>24</v>
      </c>
      <c r="B28" s="7" t="n"/>
      <c r="C28" s="7" t="n"/>
      <c r="D28" s="7" t="n"/>
      <c r="E28" s="7" t="n"/>
      <c r="F28" s="7" t="n"/>
      <c r="G28" s="7" t="n"/>
      <c r="H28" s="7" t="n"/>
      <c r="I28" s="7" t="n"/>
    </row>
    <row r="29" ht="36" customHeight="1">
      <c r="A29" s="5" t="n">
        <v>25</v>
      </c>
      <c r="B29" s="7" t="n"/>
      <c r="C29" s="7" t="n"/>
      <c r="D29" s="7" t="n"/>
      <c r="E29" s="7" t="n"/>
      <c r="F29" s="7" t="n"/>
      <c r="G29" s="7" t="n"/>
      <c r="H29" s="7" t="n"/>
      <c r="I29" s="7" t="n"/>
    </row>
    <row r="30" ht="36" customHeight="1">
      <c r="A30" s="5" t="n">
        <v>26</v>
      </c>
      <c r="B30" s="7" t="n"/>
      <c r="C30" s="7" t="n"/>
      <c r="D30" s="7" t="n"/>
      <c r="E30" s="7" t="n"/>
      <c r="F30" s="7" t="n"/>
      <c r="G30" s="7" t="n"/>
      <c r="H30" s="7" t="n"/>
      <c r="I30" s="7" t="n"/>
    </row>
    <row r="31" ht="36" customHeight="1">
      <c r="A31" s="5" t="n">
        <v>27</v>
      </c>
      <c r="B31" s="7" t="n"/>
      <c r="C31" s="7" t="n"/>
      <c r="D31" s="7" t="n"/>
      <c r="E31" s="7" t="n"/>
      <c r="F31" s="7" t="n"/>
      <c r="G31" s="7" t="n"/>
      <c r="H31" s="7" t="n"/>
      <c r="I31" s="7" t="n"/>
    </row>
    <row r="32" ht="36" customHeight="1">
      <c r="A32" s="5" t="n">
        <v>28</v>
      </c>
      <c r="B32" s="7" t="n"/>
      <c r="C32" s="7" t="n"/>
      <c r="D32" s="7" t="n"/>
      <c r="E32" s="7" t="n"/>
      <c r="F32" s="7" t="n"/>
      <c r="G32" s="7" t="n"/>
      <c r="H32" s="7" t="n"/>
      <c r="I32" s="7" t="n"/>
    </row>
    <row r="33" ht="36" customHeight="1">
      <c r="A33" s="5" t="n">
        <v>29</v>
      </c>
      <c r="B33" s="7" t="n"/>
      <c r="C33" s="7" t="n"/>
      <c r="D33" s="7" t="n"/>
      <c r="E33" s="7" t="n"/>
      <c r="F33" s="7" t="n"/>
      <c r="G33" s="7" t="n"/>
      <c r="H33" s="7" t="n"/>
      <c r="I33" s="7" t="n"/>
    </row>
    <row r="34" ht="36" customHeight="1">
      <c r="A34" s="5" t="n">
        <v>30</v>
      </c>
      <c r="B34" s="7" t="n"/>
      <c r="C34" s="7" t="n"/>
      <c r="D34" s="7" t="n"/>
      <c r="E34" s="7" t="n"/>
      <c r="F34" s="7" t="n"/>
      <c r="G34" s="7" t="n"/>
      <c r="H34" s="7" t="n"/>
      <c r="I34" s="7" t="n"/>
    </row>
  </sheetData>
  <mergeCells count="2">
    <mergeCell ref="A1:I1"/>
    <mergeCell ref="A2:I2"/>
  </mergeCells>
  <conditionalFormatting sqref="G5:G34">
    <cfRule type="cellIs" priority="1" operator="equal" dxfId="1">
      <formula>"Critical"</formula>
    </cfRule>
    <cfRule type="cellIs" priority="2" operator="equal" dxfId="2">
      <formula>"Major"</formula>
    </cfRule>
  </conditionalFormatting>
  <dataValidations count="1">
    <dataValidation sqref="G5 G6 G7 G8 G9 G10 G11 G12 G13 G14 G15 G16 G17 G18 G19 G20 G21 G22 G23 G24 G25 G26 G27 G28 G29 G30 G31 G32 G33 G34" showDropDown="0" showInputMessage="0" showErrorMessage="0" allowBlank="1" type="list">
      <formula1>"Critical,Major,Minor,Cosmetic"</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J33"/>
  <sheetViews>
    <sheetView workbookViewId="0">
      <selection activeCell="A1" sqref="A1"/>
    </sheetView>
  </sheetViews>
  <sheetFormatPr baseColWidth="8" defaultRowHeight="15"/>
  <cols>
    <col width="30" customWidth="1" min="1" max="1"/>
    <col width="15" customWidth="1" min="2" max="2"/>
    <col width="5" customWidth="1" min="3" max="3"/>
    <col width="30" customWidth="1" min="4" max="4"/>
    <col width="15" customWidth="1" min="5" max="5"/>
    <col width="15" customWidth="1" min="6" max="6"/>
    <col width="15" customWidth="1" min="7" max="7"/>
    <col width="15" customWidth="1" min="8" max="8"/>
  </cols>
  <sheetData>
    <row r="1" ht="36" customHeight="1">
      <c r="A1" s="1" t="inlineStr">
        <is>
          <t>QA DASHBOARD — Test Execution Summary</t>
        </is>
      </c>
    </row>
    <row r="2">
      <c r="A2" s="2" t="inlineStr">
        <is>
          <t>Auto-calculated from Test Execution sheet. All counts update in real-time.</t>
        </is>
      </c>
    </row>
    <row r="4">
      <c r="A4" s="15" t="inlineStr">
        <is>
          <t>OVERALL SUMMARY</t>
        </is>
      </c>
      <c r="D4" s="15" t="inlineStr">
        <is>
          <t>PER TESTER BREAKDOWN</t>
        </is>
      </c>
    </row>
    <row r="5">
      <c r="A5" s="3" t="inlineStr">
        <is>
          <t>Metric</t>
        </is>
      </c>
      <c r="B5" s="3" t="inlineStr">
        <is>
          <t>Count</t>
        </is>
      </c>
      <c r="D5" s="3" t="inlineStr">
        <is>
          <t>Tester</t>
        </is>
      </c>
      <c r="E5" s="3" t="inlineStr">
        <is>
          <t>Total</t>
        </is>
      </c>
      <c r="F5" s="3" t="inlineStr">
        <is>
          <t>Pass</t>
        </is>
      </c>
      <c r="G5" s="3" t="inlineStr">
        <is>
          <t>Fail</t>
        </is>
      </c>
      <c r="H5" s="3" t="inlineStr">
        <is>
          <t>Bugs</t>
        </is>
      </c>
    </row>
    <row r="6">
      <c r="A6" s="16" t="inlineStr">
        <is>
          <t>Total Test Cases</t>
        </is>
      </c>
      <c r="B6" s="17">
        <f>COUNTA('Test Execution'!A5:A64)</f>
        <v/>
      </c>
      <c r="D6" s="16" t="inlineStr">
        <is>
          <t>Dhivya (T01)</t>
        </is>
      </c>
      <c r="E6" s="5">
        <f>COUNTIF('Test Execution'!H5:H64,"T01")</f>
        <v/>
      </c>
      <c r="F6" s="18">
        <f>COUNTIFS('Test Execution'!H5:H64,"T01",'Test Execution'!I5:I64,"PASS")</f>
        <v/>
      </c>
      <c r="G6" s="19">
        <f>COUNTIFS('Test Execution'!H5:H64,"T01",'Test Execution'!I5:I64,"FAIL")</f>
        <v/>
      </c>
      <c r="H6" s="20">
        <f>COUNTIFS('Test Execution'!H5:H64,"T01",'Test Execution'!I5:I64,"FAIL")</f>
        <v/>
      </c>
    </row>
    <row r="7">
      <c r="A7" s="16" t="inlineStr">
        <is>
          <t>Executed</t>
        </is>
      </c>
      <c r="B7" s="17">
        <f>COUNTIF('Test Execution'!I5:I64,"PASS")+COUNTIF('Test Execution'!I5:I64,"FAIL")+COUNTIF('Test Execution'!I5:I64,"BLOCKED")</f>
        <v/>
      </c>
      <c r="D7" s="16" t="inlineStr">
        <is>
          <t>Divish (T02)</t>
        </is>
      </c>
      <c r="E7" s="5">
        <f>COUNTIF('Test Execution'!H5:H64,"T02")</f>
        <v/>
      </c>
      <c r="F7" s="18">
        <f>COUNTIFS('Test Execution'!H5:H64,"T02",'Test Execution'!I5:I64,"PASS")</f>
        <v/>
      </c>
      <c r="G7" s="19">
        <f>COUNTIFS('Test Execution'!H5:H64,"T02",'Test Execution'!I5:I64,"FAIL")</f>
        <v/>
      </c>
      <c r="H7" s="20">
        <f>COUNTIFS('Test Execution'!H5:H64,"T02",'Test Execution'!I5:I64,"FAIL")</f>
        <v/>
      </c>
    </row>
    <row r="8">
      <c r="A8" s="16" t="inlineStr">
        <is>
          <t>Not Executed</t>
        </is>
      </c>
      <c r="B8" s="17">
        <f>COUNTIF('Test Execution'!I5:I64,"")+COUNTIF('Test Execution'!I5:I64,"SKIPPED")</f>
        <v/>
      </c>
      <c r="D8" s="16" t="inlineStr">
        <is>
          <t>Mugilan (T03)</t>
        </is>
      </c>
      <c r="E8" s="5">
        <f>COUNTIF('Test Execution'!H5:H64,"T03")</f>
        <v/>
      </c>
      <c r="F8" s="18">
        <f>COUNTIFS('Test Execution'!H5:H64,"T03",'Test Execution'!I5:I64,"PASS")</f>
        <v/>
      </c>
      <c r="G8" s="19">
        <f>COUNTIFS('Test Execution'!H5:H64,"T03",'Test Execution'!I5:I64,"FAIL")</f>
        <v/>
      </c>
      <c r="H8" s="20">
        <f>COUNTIFS('Test Execution'!H5:H64,"T03",'Test Execution'!I5:I64,"FAIL")</f>
        <v/>
      </c>
    </row>
    <row r="9">
      <c r="A9" s="21" t="inlineStr">
        <is>
          <t>PASS</t>
        </is>
      </c>
      <c r="B9" s="22">
        <f>COUNTIF('Test Execution'!I5:I64,"PASS")</f>
        <v/>
      </c>
    </row>
    <row r="10">
      <c r="A10" s="21" t="inlineStr">
        <is>
          <t>FAIL</t>
        </is>
      </c>
      <c r="B10" s="23">
        <f>COUNTIF('Test Execution'!I5:I64,"FAIL")</f>
        <v/>
      </c>
    </row>
    <row r="11">
      <c r="A11" s="21" t="inlineStr">
        <is>
          <t>BLOCKED</t>
        </is>
      </c>
      <c r="B11" s="24">
        <f>COUNTIF('Test Execution'!I5:I64,"BLOCKED")</f>
        <v/>
      </c>
      <c r="D11" s="25" t="inlineStr">
        <is>
          <t>BY SCENARIO TYPE</t>
        </is>
      </c>
    </row>
    <row r="12">
      <c r="A12" s="21" t="inlineStr">
        <is>
          <t>SKIPPED</t>
        </is>
      </c>
      <c r="B12" s="17">
        <f>COUNTIF('Test Execution'!I5:I64,"SKIPPED")</f>
        <v/>
      </c>
      <c r="D12" s="3" t="inlineStr">
        <is>
          <t>Type</t>
        </is>
      </c>
      <c r="E12" s="3" t="inlineStr">
        <is>
          <t>Total</t>
        </is>
      </c>
      <c r="F12" s="3" t="inlineStr">
        <is>
          <t>Pass</t>
        </is>
      </c>
      <c r="G12" s="3" t="inlineStr">
        <is>
          <t>Fail</t>
        </is>
      </c>
    </row>
    <row r="13">
      <c r="A13" s="21" t="inlineStr">
        <is>
          <t>Pass Rate (%)</t>
        </is>
      </c>
      <c r="B13" s="17">
        <f>IF(B9+B10&gt;0,ROUND(B9/(B9+B10)*100,1),0)</f>
        <v/>
      </c>
      <c r="D13" s="26" t="inlineStr">
        <is>
          <t>USE CASE</t>
        </is>
      </c>
      <c r="E13" s="27">
        <f>COUNTIF('Test Execution'!C5:C64,"USE CASE")</f>
        <v/>
      </c>
      <c r="F13" s="27">
        <f>COUNTIFS('Test Execution'!C5:C64,"USE CASE",'Test Execution'!I5:I64,"PASS")</f>
        <v/>
      </c>
      <c r="G13" s="27">
        <f>COUNTIFS('Test Execution'!C5:C64,"USE CASE",'Test Execution'!I5:I64,"FAIL")</f>
        <v/>
      </c>
    </row>
    <row r="14">
      <c r="D14" s="28" t="inlineStr">
        <is>
          <t>NEGATIVE</t>
        </is>
      </c>
      <c r="E14" s="27">
        <f>COUNTIF('Test Execution'!C5:C64,"NEGATIVE")</f>
        <v/>
      </c>
      <c r="F14" s="27">
        <f>COUNTIFS('Test Execution'!C5:C64,"NEGATIVE",'Test Execution'!I5:I64,"PASS")</f>
        <v/>
      </c>
      <c r="G14" s="27">
        <f>COUNTIFS('Test Execution'!C5:C64,"NEGATIVE",'Test Execution'!I5:I64,"FAIL")</f>
        <v/>
      </c>
    </row>
    <row r="16">
      <c r="A16" s="15" t="inlineStr">
        <is>
          <t>PER MODULE BREAKDOWN</t>
        </is>
      </c>
      <c r="D16" s="15" t="inlineStr">
        <is>
          <t>BY SCENARIO TYPE</t>
        </is>
      </c>
    </row>
    <row r="17">
      <c r="A17" s="3" t="inlineStr">
        <is>
          <t>Module</t>
        </is>
      </c>
      <c r="B17" s="3" t="inlineStr">
        <is>
          <t>Total</t>
        </is>
      </c>
      <c r="C17" s="3" t="inlineStr">
        <is>
          <t>Pass</t>
        </is>
      </c>
      <c r="D17" s="3" t="inlineStr">
        <is>
          <t>Fail</t>
        </is>
      </c>
      <c r="E17" s="3" t="inlineStr">
        <is>
          <t>Pass Rate</t>
        </is>
      </c>
      <c r="G17" t="inlineStr">
        <is>
          <t>Type</t>
        </is>
      </c>
      <c r="H17" t="inlineStr">
        <is>
          <t>Total</t>
        </is>
      </c>
      <c r="I17" t="inlineStr">
        <is>
          <t>Pass</t>
        </is>
      </c>
      <c r="J17" t="inlineStr">
        <is>
          <t>Fail</t>
        </is>
      </c>
    </row>
    <row r="18">
      <c r="A18" s="21" t="inlineStr">
        <is>
          <t>Registration</t>
        </is>
      </c>
      <c r="B18" s="5">
        <f>COUNTIF('Test Execution'!B5:B64,"Registration")</f>
        <v/>
      </c>
      <c r="C18" s="6">
        <f>COUNTIFS('Test Execution'!B5:B64,"Registration",'Test Execution'!I5:I64,"PASS")</f>
        <v/>
      </c>
      <c r="D18" s="11">
        <f>COUNTIFS('Test Execution'!B5:B64,"Registration",'Test Execution'!I5:I64,"FAIL")</f>
        <v/>
      </c>
      <c r="E18" s="5">
        <f>IF(C18+D18&gt;0,ROUND(C18/(C18+D18)*100,1)&amp;"%","—")</f>
        <v/>
      </c>
    </row>
    <row r="19">
      <c r="A19" s="21" t="inlineStr">
        <is>
          <t>Login</t>
        </is>
      </c>
      <c r="B19" s="5">
        <f>COUNTIF('Test Execution'!B5:B64,"Login")</f>
        <v/>
      </c>
      <c r="C19" s="6">
        <f>COUNTIFS('Test Execution'!B5:B64,"Login",'Test Execution'!I5:I64,"PASS")</f>
        <v/>
      </c>
      <c r="D19" s="11">
        <f>COUNTIFS('Test Execution'!B5:B64,"Login",'Test Execution'!I5:I64,"FAIL")</f>
        <v/>
      </c>
      <c r="E19" s="5">
        <f>IF(C19+D19&gt;0,ROUND(C19/(C19+D19)*100,1)&amp;"%","—")</f>
        <v/>
      </c>
    </row>
    <row r="20">
      <c r="A20" s="21" t="inlineStr">
        <is>
          <t>Session</t>
        </is>
      </c>
      <c r="B20" s="5">
        <f>COUNTIF('Test Execution'!B5:B64,"Session")</f>
        <v/>
      </c>
      <c r="C20" s="6">
        <f>COUNTIFS('Test Execution'!B5:B64,"Session",'Test Execution'!I5:I64,"PASS")</f>
        <v/>
      </c>
      <c r="D20" s="11">
        <f>COUNTIFS('Test Execution'!B5:B64,"Session",'Test Execution'!I5:I64,"FAIL")</f>
        <v/>
      </c>
      <c r="E20" s="5">
        <f>IF(C20+D20&gt;0,ROUND(C20/(C20+D20)*100,1)&amp;"%","—")</f>
        <v/>
      </c>
    </row>
    <row r="21">
      <c r="A21" s="21" t="inlineStr">
        <is>
          <t>Dashboard</t>
        </is>
      </c>
      <c r="B21" s="5">
        <f>COUNTIF('Test Execution'!B5:B64,"Dashboard")</f>
        <v/>
      </c>
      <c r="C21" s="6">
        <f>COUNTIFS('Test Execution'!B5:B64,"Dashboard",'Test Execution'!I5:I64,"PASS")</f>
        <v/>
      </c>
      <c r="D21" s="11">
        <f>COUNTIFS('Test Execution'!B5:B64,"Dashboard",'Test Execution'!I5:I64,"FAIL")</f>
        <v/>
      </c>
      <c r="E21" s="5">
        <f>IF(C21+D21&gt;0,ROUND(C21/(C21+D21)*100,1)&amp;"%","—")</f>
        <v/>
      </c>
    </row>
    <row r="22">
      <c r="A22" s="21" t="inlineStr">
        <is>
          <t>Tour Guide</t>
        </is>
      </c>
      <c r="B22" s="5">
        <f>COUNTIF('Test Execution'!B5:B64,"Tour Guide")</f>
        <v/>
      </c>
      <c r="C22" s="6">
        <f>COUNTIFS('Test Execution'!B5:B64,"Tour Guide",'Test Execution'!I5:I64,"PASS")</f>
        <v/>
      </c>
      <c r="D22" s="11">
        <f>COUNTIFS('Test Execution'!B5:B64,"Tour Guide",'Test Execution'!I5:I64,"FAIL")</f>
        <v/>
      </c>
      <c r="E22" s="5">
        <f>IF(C22+D22&gt;0,ROUND(C22/(C22+D22)*100,1)&amp;"%","—")</f>
        <v/>
      </c>
    </row>
    <row r="23">
      <c r="A23" s="21" t="inlineStr">
        <is>
          <t>Chatbot</t>
        </is>
      </c>
      <c r="B23" s="5">
        <f>COUNTIF('Test Execution'!B5:B64,"Chatbot")</f>
        <v/>
      </c>
      <c r="C23" s="6">
        <f>COUNTIFS('Test Execution'!B5:B64,"Chatbot",'Test Execution'!I5:I64,"PASS")</f>
        <v/>
      </c>
      <c r="D23" s="11">
        <f>COUNTIFS('Test Execution'!B5:B64,"Chatbot",'Test Execution'!I5:I64,"FAIL")</f>
        <v/>
      </c>
      <c r="E23" s="5">
        <f>IF(C23+D23&gt;0,ROUND(C23/(C23+D23)*100,1)&amp;"%","—")</f>
        <v/>
      </c>
    </row>
    <row r="24">
      <c r="A24" s="21" t="inlineStr">
        <is>
          <t>Referrals</t>
        </is>
      </c>
      <c r="B24" s="5">
        <f>COUNTIF('Test Execution'!B5:B64,"Referrals")</f>
        <v/>
      </c>
      <c r="C24" s="6">
        <f>COUNTIFS('Test Execution'!B5:B64,"Referrals",'Test Execution'!I5:I64,"PASS")</f>
        <v/>
      </c>
      <c r="D24" s="11">
        <f>COUNTIFS('Test Execution'!B5:B64,"Referrals",'Test Execution'!I5:I64,"FAIL")</f>
        <v/>
      </c>
      <c r="E24" s="5">
        <f>IF(C24+D24&gt;0,ROUND(C24/(C24+D24)*100,1)&amp;"%","—")</f>
        <v/>
      </c>
    </row>
    <row r="25">
      <c r="A25" s="21" t="inlineStr">
        <is>
          <t>Profile</t>
        </is>
      </c>
      <c r="B25" s="5">
        <f>COUNTIF('Test Execution'!B5:B64,"Profile")</f>
        <v/>
      </c>
      <c r="C25" s="6">
        <f>COUNTIFS('Test Execution'!B5:B64,"Profile",'Test Execution'!I5:I64,"PASS")</f>
        <v/>
      </c>
      <c r="D25" s="11">
        <f>COUNTIFS('Test Execution'!B5:B64,"Profile",'Test Execution'!I5:I64,"FAIL")</f>
        <v/>
      </c>
      <c r="E25" s="5">
        <f>IF(C25+D25&gt;0,ROUND(C25/(C25+D25)*100,1)&amp;"%","—")</f>
        <v/>
      </c>
    </row>
    <row r="26">
      <c r="A26" s="21" t="inlineStr">
        <is>
          <t>Sample Test</t>
        </is>
      </c>
      <c r="B26" s="5">
        <f>COUNTIF('Test Execution'!B5:B64,"Sample Test")</f>
        <v/>
      </c>
      <c r="C26" s="6">
        <f>COUNTIFS('Test Execution'!B5:B64,"Sample Test",'Test Execution'!I5:I64,"PASS")</f>
        <v/>
      </c>
      <c r="D26" s="11">
        <f>COUNTIFS('Test Execution'!B5:B64,"Sample Test",'Test Execution'!I5:I64,"FAIL")</f>
        <v/>
      </c>
      <c r="E26" s="5">
        <f>IF(C26+D26&gt;0,ROUND(C26/(C26+D26)*100,1)&amp;"%","—")</f>
        <v/>
      </c>
    </row>
    <row r="27">
      <c r="A27" s="21" t="inlineStr">
        <is>
          <t>Gold Planner</t>
        </is>
      </c>
      <c r="B27" s="5">
        <f>COUNTIF('Test Execution'!B5:B64,"Gold Planner")</f>
        <v/>
      </c>
      <c r="C27" s="6">
        <f>COUNTIFS('Test Execution'!B5:B64,"Gold Planner",'Test Execution'!I5:I64,"PASS")</f>
        <v/>
      </c>
      <c r="D27" s="11">
        <f>COUNTIFS('Test Execution'!B5:B64,"Gold Planner",'Test Execution'!I5:I64,"FAIL")</f>
        <v/>
      </c>
      <c r="E27" s="5">
        <f>IF(C27+D27&gt;0,ROUND(C27/(C27+D27)*100,1)&amp;"%","—")</f>
        <v/>
      </c>
    </row>
    <row r="28">
      <c r="A28" s="21" t="inlineStr">
        <is>
          <t>PWA</t>
        </is>
      </c>
      <c r="B28" s="5">
        <f>COUNTIF('Test Execution'!B5:B64,"PWA")</f>
        <v/>
      </c>
      <c r="C28" s="6">
        <f>COUNTIFS('Test Execution'!B5:B64,"PWA",'Test Execution'!I5:I64,"PASS")</f>
        <v/>
      </c>
      <c r="D28" s="11">
        <f>COUNTIFS('Test Execution'!B5:B64,"PWA",'Test Execution'!I5:I64,"FAIL")</f>
        <v/>
      </c>
      <c r="E28" s="5">
        <f>IF(C28+D28&gt;0,ROUND(C28/(C28+D28)*100,1)&amp;"%","—")</f>
        <v/>
      </c>
    </row>
    <row r="29">
      <c r="A29" s="21" t="inlineStr">
        <is>
          <t>Cross-Browser</t>
        </is>
      </c>
      <c r="B29" s="5">
        <f>COUNTIF('Test Execution'!B5:B64,"Cross-Browser")</f>
        <v/>
      </c>
      <c r="C29" s="6">
        <f>COUNTIFS('Test Execution'!B5:B64,"Cross-Browser",'Test Execution'!I5:I64,"PASS")</f>
        <v/>
      </c>
      <c r="D29" s="11">
        <f>COUNTIFS('Test Execution'!B5:B64,"Cross-Browser",'Test Execution'!I5:I64,"FAIL")</f>
        <v/>
      </c>
      <c r="E29" s="5">
        <f>IF(C29+D29&gt;0,ROUND(C29/(C29+D29)*100,1)&amp;"%","—")</f>
        <v/>
      </c>
    </row>
    <row r="32">
      <c r="A32" s="29" t="inlineStr">
        <is>
          <t>DEPLOYMENT VERDICT</t>
        </is>
      </c>
    </row>
    <row r="33" ht="40" customHeight="1">
      <c r="A33" s="30">
        <f>IF(B10=0,IF(B9&gt;0,"GO FOR PRODUCTION","TESTING NOT STARTED"),"NO-GO — "&amp;B10&amp;" FAILURE(S) FOUND")</f>
        <v/>
      </c>
    </row>
  </sheetData>
  <mergeCells count="3">
    <mergeCell ref="A33:E33"/>
    <mergeCell ref="A2:H2"/>
    <mergeCell ref="A1:H1"/>
  </mergeCells>
  <conditionalFormatting sqref="A33:E33">
    <cfRule type="cellIs" priority="1" operator="equal" dxfId="3">
      <formula>"GO FOR PRODUCTION"</formula>
    </cfRule>
  </conditionalFormatting>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2026-03-24T05:19:52Z</dcterms:created>
  <dcterms:modified xmlns:dcterms="http://purl.org/dc/terms/" xmlns:xsi="http://www.w3.org/2001/XMLSchema-instance" xsi:type="dcterms:W3CDTF">2026-03-24T05:19:53Z</dcterms:modified>
</cp:coreProperties>
</file>